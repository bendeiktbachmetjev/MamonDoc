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kskfil01\kloska-group\TMS_Catering\Daten\Anfragen\2026\"/>
    </mc:Choice>
  </mc:AlternateContent>
  <workbookProtection workbookAlgorithmName="SHA-512" workbookHashValue="ilkOHdoxij1ICPmx8BegGpqDnxWlVwvh11EYVtSkAKRRC+04Oh0QXQhXZhzU892HarCuelUv2YORBgmDa5AdNQ==" workbookSaltValue="faSUcswdHdfsmirwVjnwnw==" workbookSpinCount="100000" lockStructure="1"/>
  <bookViews>
    <workbookView xWindow="0" yWindow="0" windowWidth="28800" windowHeight="12150" tabRatio="500"/>
  </bookViews>
  <sheets>
    <sheet name="ProvisionItems" sheetId="1" r:id="rId1"/>
  </sheets>
  <definedNames>
    <definedName name="Agent">ProvisionItems!$E$11</definedName>
    <definedName name="Captain">ProvisionItems!$E$12</definedName>
    <definedName name="Cook">ProvisionItems!$E$13</definedName>
    <definedName name="DeliveryPort">ProvisionItems!$E$8</definedName>
    <definedName name="DestinationOrderPositions">ProvisionItems!$B$19</definedName>
    <definedName name="ETA">ProvisionItems!$E$9</definedName>
    <definedName name="ETD">ProvisionItems!$E$10</definedName>
    <definedName name="NextMainOrder">ProvisionItems!$E$15</definedName>
    <definedName name="NumberOfCrew">ProvisionItems!$E$14</definedName>
    <definedName name="OrderConfirmationType">ProvisionItems!$B$2</definedName>
    <definedName name="OrderCurrency">ProvisionItems!$K$16</definedName>
    <definedName name="OrderDate">ProvisionItems!$E$3</definedName>
    <definedName name="OrderReference">ProvisionItems!$E$2</definedName>
    <definedName name="OrderTotalSupplier">ProvisionItems!$J$16</definedName>
    <definedName name="ShippingCompany">ProvisionItems!$E$6</definedName>
    <definedName name="VesselImoNumber">ProvisionItems!$F$5</definedName>
    <definedName name="VesselName">ProvisionItems!$E$5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0" i="1" l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19" i="1"/>
  <c r="J16" i="1" l="1"/>
  <c r="K16" i="1"/>
</calcChain>
</file>

<file path=xl/sharedStrings.xml><?xml version="1.0" encoding="utf-8"?>
<sst xmlns="http://schemas.openxmlformats.org/spreadsheetml/2006/main" count="260" uniqueCount="109">
  <si>
    <t>KLOSKA GROUP - PROVISION CATERING</t>
  </si>
  <si>
    <t>ORDER REQUEST</t>
  </si>
  <si>
    <t>Vessel</t>
  </si>
  <si>
    <t>Shipping Company</t>
  </si>
  <si>
    <t>Delivery Port / Country</t>
  </si>
  <si>
    <t>ETA</t>
  </si>
  <si>
    <t>ETD</t>
  </si>
  <si>
    <t>AGENT</t>
  </si>
  <si>
    <t>CAPTAIN</t>
  </si>
  <si>
    <t>COOK</t>
  </si>
  <si>
    <t>NUMBER OF CREW</t>
  </si>
  <si>
    <t>ORDER RANGE (in days)</t>
  </si>
  <si>
    <t>Total</t>
  </si>
  <si>
    <t>Reference</t>
  </si>
  <si>
    <t>Pos.</t>
  </si>
  <si>
    <t>Item Group</t>
  </si>
  <si>
    <t>Kloska Item No.</t>
  </si>
  <si>
    <t>Item description</t>
  </si>
  <si>
    <t>Order Qty</t>
  </si>
  <si>
    <t>Unit</t>
  </si>
  <si>
    <t>Vessel Remark</t>
  </si>
  <si>
    <t>Price/Unit</t>
  </si>
  <si>
    <t>Amount</t>
  </si>
  <si>
    <t>Minimum Order Qty</t>
  </si>
  <si>
    <t>Supplier Remark</t>
  </si>
  <si>
    <t>Supplier Item No.</t>
  </si>
  <si>
    <t>Instructions for Quotations</t>
  </si>
  <si>
    <t>1. Fill the yellow cells only</t>
  </si>
  <si>
    <t>Give the net weight for packs, pieces, tins, breads in gramm</t>
  </si>
  <si>
    <t>Specify brands, quality, details to vessel remarks, alternative offers</t>
  </si>
  <si>
    <t>2. Do not modify the file</t>
  </si>
  <si>
    <t>Please enter your item code, if any</t>
  </si>
  <si>
    <t>Enter minimum order quantity for the single product, in case it applies. Write numbers only !</t>
  </si>
  <si>
    <t>Net Weight / Unit</t>
  </si>
  <si>
    <t>Quantities will be changed by Kloska, based on information given by you</t>
  </si>
  <si>
    <t>3. Order Qty:</t>
  </si>
  <si>
    <t>4. Price/Unit :</t>
  </si>
  <si>
    <t xml:space="preserve">5. Cur.: </t>
  </si>
  <si>
    <t xml:space="preserve">6. Minimum Order Qty: </t>
  </si>
  <si>
    <t>7. Net Weight / Unit:</t>
  </si>
  <si>
    <t xml:space="preserve">8. Supplier Remark: </t>
  </si>
  <si>
    <t>9. Supplier Item No.:</t>
  </si>
  <si>
    <t>Pay attention to the currency predefined by Kloska</t>
  </si>
  <si>
    <t>Cur.</t>
  </si>
  <si>
    <t>Enter prices based on the given unit</t>
  </si>
  <si>
    <t>9369007_Provision_20260323_213539</t>
  </si>
  <si>
    <t>PRICE REQUEST</t>
  </si>
  <si>
    <t>25.03.2026 08:30</t>
  </si>
  <si>
    <t>Elbstrom</t>
  </si>
  <si>
    <t>9369007</t>
  </si>
  <si>
    <t>Elbdeich Reederei</t>
  </si>
  <si>
    <t>Klaipeda / Lithuania</t>
  </si>
  <si>
    <t>Unimars Lithuania</t>
  </si>
  <si>
    <t>Sergej Smirnov_x000D_
+370 607 53750_x000D_
agency@portofklaipeda.eu_x000D_
E I M L I N A</t>
  </si>
  <si>
    <t>Kvakusha, Mykhailo</t>
  </si>
  <si>
    <t>Meat</t>
  </si>
  <si>
    <t>Chicken, ovenready</t>
  </si>
  <si>
    <t>kg</t>
  </si>
  <si>
    <t>EUR</t>
  </si>
  <si>
    <t>Pork chops</t>
  </si>
  <si>
    <t>Pork neck boneless</t>
  </si>
  <si>
    <t>Ham / Sausages</t>
  </si>
  <si>
    <t>Frankfurter</t>
  </si>
  <si>
    <t>Mortadella</t>
  </si>
  <si>
    <t>Pork sausage</t>
  </si>
  <si>
    <t>Salami</t>
  </si>
  <si>
    <t>Dairy Products / Milk Products</t>
  </si>
  <si>
    <t>Eggs</t>
  </si>
  <si>
    <t>pcs</t>
  </si>
  <si>
    <t>Milk long life 3,5%</t>
  </si>
  <si>
    <t>ltr</t>
  </si>
  <si>
    <t>Fruits / Vegetables</t>
  </si>
  <si>
    <t>Apples, green</t>
  </si>
  <si>
    <t>Bananas, half-ripe</t>
  </si>
  <si>
    <t>Bell Peppers, green, fresh</t>
  </si>
  <si>
    <t>Bell Peppers, red, fresh</t>
  </si>
  <si>
    <t>Broccoli, fresh</t>
  </si>
  <si>
    <t>Carrots, fresh</t>
  </si>
  <si>
    <t>Cauliflower, fresh</t>
  </si>
  <si>
    <t>Chayote, fresh</t>
  </si>
  <si>
    <t>Cucumbers, fresh</t>
  </si>
  <si>
    <t>Eggplants, fresh</t>
  </si>
  <si>
    <t>Garlic, fresh</t>
  </si>
  <si>
    <t>Ginger, fresh</t>
  </si>
  <si>
    <t>Iceberg lettuce, fresh</t>
  </si>
  <si>
    <t>Kiwis</t>
  </si>
  <si>
    <t>Leek, fresh</t>
  </si>
  <si>
    <t>Lemons, fresh</t>
  </si>
  <si>
    <t>Marrows, green, fresh</t>
  </si>
  <si>
    <t>Onions, fresh</t>
  </si>
  <si>
    <t>Oranges</t>
  </si>
  <si>
    <t>Parsley, fresh</t>
  </si>
  <si>
    <t>Potatoes, regular, fresh</t>
  </si>
  <si>
    <t>Pumpkin, fresh</t>
  </si>
  <si>
    <t>Spring onions, fresh</t>
  </si>
  <si>
    <t>Table celery, fresh</t>
  </si>
  <si>
    <t>Tangerines (Mandarines)</t>
  </si>
  <si>
    <t>Tomatoes, half-ripe</t>
  </si>
  <si>
    <t>White cabbage, fresh</t>
  </si>
  <si>
    <t>Sauces / Fats</t>
  </si>
  <si>
    <t>Cooking oil</t>
  </si>
  <si>
    <t>Mayonnaise</t>
  </si>
  <si>
    <t>jar</t>
  </si>
  <si>
    <t>Soya Sauce, Kikoman</t>
  </si>
  <si>
    <t>Juice</t>
  </si>
  <si>
    <t>Tropical juice</t>
  </si>
  <si>
    <t>Miscellaneous</t>
  </si>
  <si>
    <t>Kefir</t>
  </si>
  <si>
    <t>btl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</si>
</sst>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&quot; €&quot;_-;\-* #,##0.00&quot; €&quot;_-;_-* \-??&quot; €&quot;_-;_-@_-"/>
  </numFmts>
  <fonts count="11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4"/>
      <color rgb="FF17375E"/>
      <name val="Calibri"/>
      <family val="2"/>
      <charset val="1"/>
    </font>
    <font>
      <sz val="1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1F497D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4"/>
      <name val="Calibri"/>
      <family val="2"/>
      <charset val="1"/>
    </font>
    <font>
      <sz val="12"/>
      <name val="Calibri"/>
      <family val="2"/>
    </font>
    <font>
      <sz val="11"/>
      <color theme="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7375E"/>
      </patternFill>
    </fill>
    <fill>
      <patternFill patternType="solid">
        <fgColor rgb="FFFFFFCC"/>
        <bgColor rgb="FFFFFFFF"/>
      </patternFill>
    </fill>
    <fill>
      <patternFill patternType="solid">
        <fgColor rgb="FFC0000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rgb="FFF2F2F2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rgb="FFF2F2F2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rgb="FFF2F2F2"/>
      </top>
      <bottom style="thin">
        <color rgb="FFF2F2F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rgb="FFF2F2F2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9CDE5"/>
      </left>
      <right style="thin">
        <color rgb="FFB9CDE5"/>
      </right>
      <top/>
      <bottom style="thin">
        <color rgb="FF95B3D7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9CDE5"/>
      </left>
      <right style="thin">
        <color rgb="FFB9CDE5"/>
      </right>
      <top style="thin">
        <color rgb="FF95B3D7"/>
      </top>
      <bottom style="thin">
        <color rgb="FF95B3D7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B9CDE5"/>
      </left>
      <right/>
      <top style="thin">
        <color rgb="FFB9CDE5"/>
      </top>
      <bottom style="thin">
        <color rgb="FFB9CDE5"/>
      </bottom>
      <diagonal/>
    </border>
    <border>
      <left/>
      <right/>
      <top style="thin">
        <color rgb="FFB9CDE5"/>
      </top>
      <bottom style="thin">
        <color rgb="FFB9CDE5"/>
      </bottom>
      <diagonal/>
    </border>
    <border>
      <left/>
      <right style="thin">
        <color rgb="FFB9CDE5"/>
      </right>
      <top style="thin">
        <color rgb="FFB9CDE5"/>
      </top>
      <bottom style="thin">
        <color rgb="FFB9CDE5"/>
      </bottom>
      <diagonal/>
    </border>
  </borders>
  <cellStyleXfs count="3">
    <xf numFmtId="0" fontId="0" fillId="0" borderId="0"/>
    <xf numFmtId="164" fontId="7" fillId="0" borderId="0" applyBorder="0" applyProtection="0"/>
    <xf numFmtId="0" fontId="1" fillId="0" borderId="0"/>
  </cellStyleXfs>
  <cellXfs count="52">
    <xf numFmtId="0" fontId="0" fillId="0" borderId="0" xfId="0"/>
    <xf numFmtId="0" fontId="2" fillId="0" borderId="0" xfId="0" applyFont="1" applyAlignment="1">
      <alignment horizontal="left" vertical="center" indent="1"/>
    </xf>
    <xf numFmtId="14" fontId="2" fillId="0" borderId="0" xfId="0" applyNumberFormat="1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indent="1"/>
    </xf>
    <xf numFmtId="0" fontId="3" fillId="0" borderId="6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3" fillId="0" borderId="7" xfId="0" applyFont="1" applyBorder="1" applyAlignment="1">
      <alignment vertical="center"/>
    </xf>
    <xf numFmtId="14" fontId="3" fillId="0" borderId="9" xfId="0" applyNumberFormat="1" applyFont="1" applyBorder="1" applyAlignment="1">
      <alignment horizontal="left" vertical="center" indent="1"/>
    </xf>
    <xf numFmtId="14" fontId="3" fillId="0" borderId="10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horizontal="left" vertical="center" wrapText="1" indent="1"/>
    </xf>
    <xf numFmtId="49" fontId="3" fillId="0" borderId="11" xfId="0" applyNumberFormat="1" applyFont="1" applyBorder="1" applyAlignment="1">
      <alignment horizontal="left" vertical="center" indent="1"/>
    </xf>
    <xf numFmtId="49" fontId="3" fillId="0" borderId="12" xfId="0" applyNumberFormat="1" applyFont="1" applyBorder="1" applyAlignment="1">
      <alignment vertical="center"/>
    </xf>
    <xf numFmtId="49" fontId="3" fillId="0" borderId="14" xfId="0" applyNumberFormat="1" applyFont="1" applyBorder="1" applyAlignment="1">
      <alignment horizontal="left" vertical="center" wrapText="1" indent="1"/>
    </xf>
    <xf numFmtId="49" fontId="3" fillId="0" borderId="15" xfId="0" applyNumberFormat="1" applyFont="1" applyBorder="1" applyAlignment="1">
      <alignment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3" fillId="0" borderId="21" xfId="2" applyFont="1" applyBorder="1" applyAlignment="1">
      <alignment horizontal="center" vertical="center" wrapText="1"/>
    </xf>
    <xf numFmtId="0" fontId="3" fillId="0" borderId="21" xfId="2" applyFont="1" applyBorder="1" applyAlignment="1">
      <alignment horizontal="left" vertical="center" wrapText="1"/>
    </xf>
    <xf numFmtId="0" fontId="3" fillId="0" borderId="21" xfId="2" applyFont="1" applyBorder="1" applyAlignment="1">
      <alignment horizontal="right" vertical="center" wrapText="1"/>
    </xf>
    <xf numFmtId="2" fontId="3" fillId="0" borderId="21" xfId="2" applyNumberFormat="1" applyFont="1" applyBorder="1" applyAlignment="1">
      <alignment horizontal="right" vertical="center" wrapText="1"/>
    </xf>
    <xf numFmtId="0" fontId="0" fillId="0" borderId="0" xfId="0" applyProtection="1">
      <protection locked="0"/>
    </xf>
    <xf numFmtId="2" fontId="6" fillId="3" borderId="20" xfId="2" applyNumberFormat="1" applyFont="1" applyFill="1" applyBorder="1" applyAlignment="1" applyProtection="1">
      <alignment horizontal="right" vertical="center" wrapText="1"/>
      <protection locked="0"/>
    </xf>
    <xf numFmtId="0" fontId="6" fillId="3" borderId="20" xfId="2" applyFont="1" applyFill="1" applyBorder="1" applyAlignment="1" applyProtection="1">
      <alignment horizontal="left" vertical="center" wrapText="1"/>
      <protection locked="0"/>
    </xf>
    <xf numFmtId="49" fontId="6" fillId="3" borderId="20" xfId="2" applyNumberFormat="1" applyFont="1" applyFill="1" applyBorder="1" applyAlignment="1" applyProtection="1">
      <alignment horizontal="right" vertical="center" wrapText="1"/>
      <protection locked="0"/>
    </xf>
    <xf numFmtId="0" fontId="9" fillId="0" borderId="0" xfId="0" applyFont="1" applyAlignment="1">
      <alignment vertical="center"/>
    </xf>
    <xf numFmtId="0" fontId="0" fillId="0" borderId="0" xfId="0" applyProtection="1"/>
    <xf numFmtId="0" fontId="9" fillId="0" borderId="0" xfId="0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6" fillId="3" borderId="16" xfId="2" applyFont="1" applyFill="1" applyBorder="1" applyAlignment="1" applyProtection="1">
      <alignment horizontal="center" vertical="center" wrapText="1"/>
    </xf>
    <xf numFmtId="2" fontId="6" fillId="0" borderId="16" xfId="2" applyNumberFormat="1" applyFont="1" applyBorder="1" applyAlignment="1" applyProtection="1">
      <alignment horizontal="right" vertical="center" wrapText="1"/>
    </xf>
    <xf numFmtId="0" fontId="6" fillId="3" borderId="16" xfId="2" applyFont="1" applyFill="1" applyBorder="1" applyAlignment="1" applyProtection="1">
      <alignment horizontal="left" vertical="center" wrapText="1"/>
    </xf>
    <xf numFmtId="0" fontId="6" fillId="3" borderId="20" xfId="2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vertical="center"/>
    </xf>
    <xf numFmtId="0" fontId="6" fillId="0" borderId="20" xfId="2" applyFont="1" applyBorder="1" applyAlignment="1" applyProtection="1">
      <alignment horizontal="center" vertical="center" wrapText="1"/>
    </xf>
    <xf numFmtId="2" fontId="6" fillId="0" borderId="20" xfId="2" applyNumberFormat="1" applyFont="1" applyBorder="1" applyAlignment="1" applyProtection="1">
      <alignment horizontal="right" vertical="center" wrapText="1"/>
    </xf>
    <xf numFmtId="0" fontId="10" fillId="4" borderId="0" xfId="0" applyFont="1" applyFill="1" applyAlignment="1">
      <alignment vertical="center"/>
    </xf>
    <xf numFmtId="0" fontId="10" fillId="4" borderId="0" xfId="0" applyFont="1" applyFill="1" applyAlignment="1" applyProtection="1">
      <alignment vertical="center"/>
    </xf>
    <xf numFmtId="0" fontId="6" fillId="3" borderId="20" xfId="2" applyFont="1" applyFill="1" applyBorder="1" applyAlignment="1" applyProtection="1">
      <alignment horizontal="center" vertical="center" wrapText="1"/>
    </xf>
    <xf numFmtId="0" fontId="6" fillId="3" borderId="20" xfId="2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 vertical="center" indent="1"/>
    </xf>
    <xf numFmtId="0" fontId="4" fillId="2" borderId="4" xfId="0" applyFont="1" applyFill="1" applyBorder="1" applyAlignment="1">
      <alignment horizontal="left" vertical="center" indent="1"/>
    </xf>
    <xf numFmtId="0" fontId="4" fillId="2" borderId="8" xfId="0" applyFont="1" applyFill="1" applyBorder="1" applyAlignment="1">
      <alignment horizontal="left" vertical="center" indent="1"/>
    </xf>
    <xf numFmtId="0" fontId="6" fillId="3" borderId="22" xfId="2" applyFont="1" applyFill="1" applyBorder="1" applyAlignment="1" applyProtection="1">
      <alignment horizontal="center" vertical="center" wrapText="1"/>
    </xf>
    <xf numFmtId="0" fontId="6" fillId="3" borderId="23" xfId="2" applyFont="1" applyFill="1" applyBorder="1" applyAlignment="1" applyProtection="1">
      <alignment horizontal="center" vertical="center" wrapText="1"/>
    </xf>
    <xf numFmtId="0" fontId="6" fillId="3" borderId="24" xfId="2" applyFont="1" applyFill="1" applyBorder="1" applyAlignment="1" applyProtection="1">
      <alignment horizontal="center" vertical="center" wrapText="1"/>
    </xf>
    <xf numFmtId="0" fontId="4" fillId="2" borderId="13" xfId="0" applyFont="1" applyFill="1" applyBorder="1" applyAlignment="1">
      <alignment horizontal="left" vertical="center" indent="1"/>
    </xf>
  </cellXfs>
  <cellStyles count="3">
    <cellStyle name="Euro" xfId="1"/>
    <cellStyle name="Standard" xfId="0" builtinId="0"/>
    <cellStyle name="Standard_Tabelle1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75E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23760</xdr:colOff>
      <xdr:row>0</xdr:row>
      <xdr:rowOff>0</xdr:rowOff>
    </xdr:from>
    <xdr:to>
      <xdr:col>6</xdr:col>
      <xdr:colOff>208080</xdr:colOff>
      <xdr:row>3</xdr:row>
      <xdr:rowOff>39600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343280" y="0"/>
          <a:ext cx="939600" cy="716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97D"/>
    <pageSetUpPr fitToPage="1"/>
  </sheetPr>
  <dimension ref="A1:P1047550"/>
  <sheetViews>
    <sheetView showGridLines="0" tabSelected="1" topLeftCell="B1" zoomScaleNormal="100" workbookViewId="0">
      <selection activeCell="E1" sqref="E1"/>
    </sheetView>
  </sheetViews>
  <sheetFormatPr baseColWidth="10" defaultColWidth="10.5703125" defaultRowHeight="15" x14ac:dyDescent="0.25"/>
  <cols>
    <col min="1" max="1" width="11.5703125" hidden="1" customWidth="1" collapsed="1"/>
    <col min="2" max="2" width="6.7109375" customWidth="1" collapsed="1"/>
    <col min="3" max="3" width="30.7109375" customWidth="1" collapsed="1"/>
    <col min="4" max="4" width="15.7109375" customWidth="1" collapsed="1"/>
    <col min="5" max="5" width="50.7109375" customWidth="1" collapsed="1"/>
    <col min="6" max="6" width="10.7109375" customWidth="1" collapsed="1"/>
    <col min="7" max="7" width="7.7109375" customWidth="1" collapsed="1"/>
    <col min="8" max="8" width="30.7109375" customWidth="1" collapsed="1"/>
    <col min="9" max="9" width="10.7109375" style="26" customWidth="1" collapsed="1"/>
    <col min="10" max="10" width="10.7109375" style="31" customWidth="1" collapsed="1"/>
    <col min="11" max="11" width="6.7109375" style="31" customWidth="1" collapsed="1"/>
    <col min="12" max="12" width="10.7109375" style="26" customWidth="1" collapsed="1"/>
    <col min="13" max="13" width="12.42578125" style="26" customWidth="1" collapsed="1"/>
    <col min="14" max="14" width="42.42578125" style="26" customWidth="1" collapsed="1"/>
    <col min="15" max="15" width="11.85546875" style="26" customWidth="1" collapsed="1"/>
    <col min="16" max="16" width="19.7109375" customWidth="1" collapsed="1"/>
  </cols>
  <sheetData>
    <row r="1" spans="2:15" ht="19.5" customHeight="1" x14ac:dyDescent="0.25">
      <c r="B1" s="1" t="s">
        <v>0</v>
      </c>
      <c r="C1" s="1"/>
      <c r="H1" s="38" t="s">
        <v>26</v>
      </c>
      <c r="I1" s="38"/>
      <c r="J1" s="38"/>
      <c r="K1" s="38"/>
      <c r="L1" s="38"/>
      <c r="M1" s="38"/>
      <c r="N1" s="38"/>
      <c r="O1" s="38"/>
    </row>
    <row r="2" spans="2:15" ht="18" customHeight="1" x14ac:dyDescent="0.25">
      <c r="B2" s="1" t="s">
        <v>1</v>
      </c>
      <c r="C2" s="1"/>
      <c r="E2" s="2" t="s">
        <v>45</v>
      </c>
      <c r="H2" s="30" t="s">
        <v>27</v>
      </c>
      <c r="I2" s="32"/>
      <c r="J2" s="32"/>
      <c r="L2" s="31"/>
      <c r="M2" s="31"/>
      <c r="N2" s="31"/>
      <c r="O2" s="31"/>
    </row>
    <row r="3" spans="2:15" ht="15.75" customHeight="1" x14ac:dyDescent="0.25">
      <c r="B3" s="1" t="s">
        <v>46</v>
      </c>
      <c r="C3" s="1"/>
      <c r="E3" s="2" t="s">
        <v>47</v>
      </c>
      <c r="H3" s="30" t="s">
        <v>30</v>
      </c>
      <c r="I3" s="32"/>
      <c r="J3" s="32"/>
      <c r="L3" s="31"/>
      <c r="M3" s="31"/>
      <c r="N3" s="31"/>
      <c r="O3" s="31"/>
    </row>
    <row r="4" spans="2:15" ht="15.75" customHeight="1" x14ac:dyDescent="0.25">
      <c r="H4" s="30" t="s">
        <v>35</v>
      </c>
      <c r="I4" s="32"/>
      <c r="J4" s="32" t="s">
        <v>34</v>
      </c>
      <c r="K4" s="32"/>
      <c r="L4" s="32"/>
      <c r="M4" s="32"/>
      <c r="N4" s="32"/>
      <c r="O4" s="31"/>
    </row>
    <row r="5" spans="2:15" s="3" customFormat="1" ht="18" customHeight="1" x14ac:dyDescent="0.25">
      <c r="B5" s="45" t="s">
        <v>2</v>
      </c>
      <c r="C5" s="45"/>
      <c r="D5" s="45"/>
      <c r="E5" s="4" t="s">
        <v>48</v>
      </c>
      <c r="F5" s="5" t="s">
        <v>49</v>
      </c>
      <c r="H5" s="41" t="s">
        <v>36</v>
      </c>
      <c r="I5" s="33"/>
      <c r="J5" s="41" t="s">
        <v>44</v>
      </c>
      <c r="K5" s="42"/>
      <c r="L5" s="42"/>
      <c r="M5" s="42"/>
      <c r="N5" s="42"/>
      <c r="O5" s="42"/>
    </row>
    <row r="6" spans="2:15" s="3" customFormat="1" ht="18" customHeight="1" x14ac:dyDescent="0.25">
      <c r="B6" s="46" t="s">
        <v>3</v>
      </c>
      <c r="C6" s="46"/>
      <c r="D6" s="46"/>
      <c r="E6" s="6" t="s">
        <v>50</v>
      </c>
      <c r="F6" s="7"/>
      <c r="H6" s="3" t="s">
        <v>37</v>
      </c>
      <c r="I6" s="33"/>
      <c r="J6" s="33" t="s">
        <v>42</v>
      </c>
      <c r="K6" s="33"/>
      <c r="L6" s="33"/>
      <c r="M6" s="33"/>
      <c r="N6" s="33"/>
      <c r="O6" s="33"/>
    </row>
    <row r="7" spans="2:15" s="3" customFormat="1" ht="18" customHeight="1" x14ac:dyDescent="0.25">
      <c r="B7" s="8"/>
      <c r="C7" s="8"/>
      <c r="D7" s="8"/>
      <c r="H7" s="3" t="s">
        <v>38</v>
      </c>
      <c r="I7" s="33"/>
      <c r="J7" s="33" t="s">
        <v>32</v>
      </c>
      <c r="K7" s="33"/>
      <c r="L7" s="33"/>
      <c r="M7" s="33"/>
      <c r="N7" s="33"/>
      <c r="O7" s="33"/>
    </row>
    <row r="8" spans="2:15" s="3" customFormat="1" ht="18" customHeight="1" x14ac:dyDescent="0.25">
      <c r="B8" s="45" t="s">
        <v>4</v>
      </c>
      <c r="C8" s="45"/>
      <c r="D8" s="45"/>
      <c r="E8" s="4" t="s">
        <v>51</v>
      </c>
      <c r="F8" s="9"/>
      <c r="H8" s="3" t="s">
        <v>39</v>
      </c>
      <c r="I8" s="33"/>
      <c r="J8" s="33" t="s">
        <v>28</v>
      </c>
      <c r="K8" s="33"/>
      <c r="L8" s="33"/>
      <c r="M8" s="33"/>
      <c r="N8" s="33"/>
      <c r="O8" s="33"/>
    </row>
    <row r="9" spans="2:15" s="3" customFormat="1" ht="18" customHeight="1" x14ac:dyDescent="0.25">
      <c r="B9" s="47" t="s">
        <v>5</v>
      </c>
      <c r="C9" s="47"/>
      <c r="D9" s="47"/>
      <c r="E9" s="10">
        <v>46115</v>
      </c>
      <c r="F9" s="11"/>
      <c r="H9" s="3" t="s">
        <v>40</v>
      </c>
      <c r="I9" s="33"/>
      <c r="J9" s="33" t="s">
        <v>29</v>
      </c>
      <c r="K9" s="33"/>
      <c r="L9" s="33"/>
      <c r="M9" s="33"/>
      <c r="N9" s="33"/>
      <c r="O9" s="33"/>
    </row>
    <row r="10" spans="2:15" s="3" customFormat="1" ht="18" customHeight="1" x14ac:dyDescent="0.25">
      <c r="B10" s="47" t="s">
        <v>6</v>
      </c>
      <c r="C10" s="47"/>
      <c r="D10" s="47"/>
      <c r="E10" s="10">
        <v>46115</v>
      </c>
      <c r="F10" s="12"/>
      <c r="H10" s="3" t="s">
        <v>41</v>
      </c>
      <c r="I10" s="33"/>
      <c r="J10" s="33" t="s">
        <v>31</v>
      </c>
      <c r="K10" s="33"/>
      <c r="L10" s="33"/>
      <c r="M10" s="33"/>
      <c r="N10" s="33"/>
      <c r="O10" s="33"/>
    </row>
    <row r="11" spans="2:15" s="3" customFormat="1" ht="66" customHeight="1" x14ac:dyDescent="0.25">
      <c r="B11" s="47" t="s">
        <v>7</v>
      </c>
      <c r="C11" s="47"/>
      <c r="D11" s="47"/>
      <c r="E11" s="13" t="s">
        <v>53</v>
      </c>
      <c r="F11" s="12"/>
      <c r="I11" s="33"/>
      <c r="J11" s="33"/>
      <c r="K11" s="33"/>
      <c r="L11" s="33"/>
      <c r="M11" s="33"/>
      <c r="N11" s="33"/>
      <c r="O11" s="33"/>
    </row>
    <row r="12" spans="2:15" s="3" customFormat="1" ht="18" customHeight="1" x14ac:dyDescent="0.25">
      <c r="B12" s="47" t="s">
        <v>8</v>
      </c>
      <c r="C12" s="47"/>
      <c r="D12" s="47"/>
      <c r="E12" s="14" t="s">
        <v>54</v>
      </c>
      <c r="F12" s="15"/>
      <c r="I12" s="33"/>
      <c r="J12" s="33"/>
      <c r="K12" s="33"/>
      <c r="L12" s="33"/>
      <c r="M12" s="33"/>
      <c r="N12" s="33"/>
      <c r="O12" s="33"/>
    </row>
    <row r="13" spans="2:15" s="3" customFormat="1" ht="18" customHeight="1" x14ac:dyDescent="0.25">
      <c r="B13" s="47" t="s">
        <v>9</v>
      </c>
      <c r="C13" s="47"/>
      <c r="D13" s="47"/>
      <c r="E13" s="14"/>
      <c r="F13" s="15"/>
      <c r="I13" s="33"/>
      <c r="J13" s="33"/>
      <c r="K13" s="33"/>
      <c r="L13" s="33"/>
      <c r="M13" s="33"/>
      <c r="N13" s="33"/>
      <c r="O13" s="33"/>
    </row>
    <row r="14" spans="2:15" s="3" customFormat="1" ht="18" customHeight="1" x14ac:dyDescent="0.25">
      <c r="B14" s="47" t="s">
        <v>10</v>
      </c>
      <c r="C14" s="47"/>
      <c r="D14" s="47"/>
      <c r="E14" s="14">
        <v>13</v>
      </c>
      <c r="F14" s="15"/>
      <c r="I14" s="33"/>
      <c r="J14" s="33"/>
      <c r="K14" s="33"/>
      <c r="L14" s="33"/>
      <c r="M14" s="33"/>
      <c r="N14" s="33"/>
      <c r="O14" s="33"/>
    </row>
    <row r="15" spans="2:15" s="3" customFormat="1" ht="18" customHeight="1" x14ac:dyDescent="0.25">
      <c r="B15" s="51" t="s">
        <v>11</v>
      </c>
      <c r="C15" s="51"/>
      <c r="D15" s="51"/>
      <c r="E15" s="16">
        <v>15</v>
      </c>
      <c r="F15" s="17"/>
      <c r="I15" s="48" t="s">
        <v>52</v>
      </c>
      <c r="J15" s="49"/>
      <c r="K15" s="49"/>
      <c r="L15" s="49"/>
      <c r="M15" s="49"/>
      <c r="N15" s="49"/>
      <c r="O15" s="50"/>
    </row>
    <row r="16" spans="2:15" ht="30.75" customHeight="1" x14ac:dyDescent="0.25">
      <c r="I16" s="34" t="s">
        <v>12</v>
      </c>
      <c r="J16" s="35">
        <f>SUM(J19:J59)</f>
        <v>0</v>
      </c>
      <c r="K16" s="36" t="str">
        <f>IF(ISBLANK(K19),"",K19)</f>
        <v>EUR</v>
      </c>
      <c r="L16" s="31"/>
      <c r="M16" s="33"/>
      <c r="N16" s="33"/>
      <c r="O16" s="31"/>
    </row>
    <row r="17" spans="1:15" ht="15.75" customHeight="1" x14ac:dyDescent="0.25">
      <c r="I17" s="31"/>
      <c r="L17" s="31"/>
      <c r="M17" s="31"/>
      <c r="N17" s="31"/>
      <c r="O17" s="31"/>
    </row>
    <row r="18" spans="1:15" ht="30" customHeight="1" x14ac:dyDescent="0.25">
      <c r="A18" s="18" t="s">
        <v>13</v>
      </c>
      <c r="B18" s="18" t="s">
        <v>14</v>
      </c>
      <c r="C18" s="19" t="s">
        <v>15</v>
      </c>
      <c r="D18" s="20" t="s">
        <v>16</v>
      </c>
      <c r="E18" s="20" t="s">
        <v>17</v>
      </c>
      <c r="F18" s="20" t="s">
        <v>18</v>
      </c>
      <c r="G18" s="21" t="s">
        <v>19</v>
      </c>
      <c r="H18" s="19" t="s">
        <v>20</v>
      </c>
      <c r="I18" s="37" t="s">
        <v>21</v>
      </c>
      <c r="J18" s="39" t="s">
        <v>22</v>
      </c>
      <c r="K18" s="43" t="s">
        <v>43</v>
      </c>
      <c r="L18" s="37" t="s">
        <v>23</v>
      </c>
      <c r="M18" s="37" t="s">
        <v>33</v>
      </c>
      <c r="N18" s="37" t="s">
        <v>24</v>
      </c>
      <c r="O18" s="37" t="s">
        <v>25</v>
      </c>
    </row>
    <row r="19" spans="1:15" ht="19.5" customHeight="1" x14ac:dyDescent="0.25">
      <c r="A19" t="s">
        <v>45</v>
      </c>
      <c r="B19" s="22">
        <v>10</v>
      </c>
      <c r="C19" s="23" t="s">
        <v>55</v>
      </c>
      <c r="D19" s="24">
        <v>94</v>
      </c>
      <c r="E19" s="23" t="s">
        <v>56</v>
      </c>
      <c r="F19" s="25">
        <v>10</v>
      </c>
      <c r="G19" s="22" t="s">
        <v>57</v>
      </c>
      <c r="H19" s="23"/>
      <c r="I19" s="27"/>
      <c r="J19" s="40">
        <f>F19*I19</f>
        <v>0</v>
      </c>
      <c r="K19" s="44" t="s">
        <v>58</v>
      </c>
      <c r="L19" s="27"/>
      <c r="M19" s="29"/>
      <c r="N19" s="28"/>
      <c r="O19" s="29"/>
    </row>
    <row r="20" spans="1:15" x14ac:dyDescent="0.25">
      <c r="A20" t="s">
        <v>45</v>
      </c>
      <c r="B20" s="22">
        <v>20</v>
      </c>
      <c r="C20" s="23" t="s">
        <v>55</v>
      </c>
      <c r="D20" s="24">
        <v>46</v>
      </c>
      <c r="E20" s="23" t="s">
        <v>59</v>
      </c>
      <c r="F20" s="25">
        <v>5</v>
      </c>
      <c r="G20" s="22" t="s">
        <v>57</v>
      </c>
      <c r="H20" s="23"/>
      <c r="I20" s="27"/>
      <c r="J20" s="40">
        <f t="shared" ref="J20:J59" si="0">F20*I20</f>
        <v>0</v>
      </c>
      <c r="K20" s="44" t="s">
        <v>58</v>
      </c>
      <c r="L20" s="27"/>
      <c r="M20" s="29"/>
      <c r="N20" s="28"/>
      <c r="O20" s="29"/>
    </row>
    <row r="21" spans="1:15" x14ac:dyDescent="0.25">
      <c r="A21" t="s">
        <v>45</v>
      </c>
      <c r="B21" s="22">
        <v>30</v>
      </c>
      <c r="C21" s="23" t="s">
        <v>55</v>
      </c>
      <c r="D21" s="24">
        <v>70</v>
      </c>
      <c r="E21" s="23" t="s">
        <v>60</v>
      </c>
      <c r="F21" s="25">
        <v>10</v>
      </c>
      <c r="G21" s="22" t="s">
        <v>57</v>
      </c>
      <c r="H21" s="23"/>
      <c r="I21" s="27"/>
      <c r="J21" s="40">
        <f t="shared" si="0"/>
        <v>0</v>
      </c>
      <c r="K21" s="44" t="s">
        <v>58</v>
      </c>
      <c r="L21" s="27"/>
      <c r="M21" s="29"/>
      <c r="N21" s="28"/>
      <c r="O21" s="29"/>
    </row>
    <row r="22" spans="1:15" x14ac:dyDescent="0.25">
      <c r="A22" t="s">
        <v>45</v>
      </c>
      <c r="B22" s="22">
        <v>40</v>
      </c>
      <c r="C22" s="23" t="s">
        <v>61</v>
      </c>
      <c r="D22" s="24">
        <v>257</v>
      </c>
      <c r="E22" s="23" t="s">
        <v>62</v>
      </c>
      <c r="F22" s="25">
        <v>3</v>
      </c>
      <c r="G22" s="22" t="s">
        <v>57</v>
      </c>
      <c r="H22" s="23"/>
      <c r="I22" s="27"/>
      <c r="J22" s="40">
        <f t="shared" si="0"/>
        <v>0</v>
      </c>
      <c r="K22" s="44" t="s">
        <v>58</v>
      </c>
      <c r="L22" s="27"/>
      <c r="M22" s="29"/>
      <c r="N22" s="28"/>
      <c r="O22" s="29"/>
    </row>
    <row r="23" spans="1:15" x14ac:dyDescent="0.25">
      <c r="A23" t="s">
        <v>45</v>
      </c>
      <c r="B23" s="22">
        <v>50</v>
      </c>
      <c r="C23" s="23" t="s">
        <v>61</v>
      </c>
      <c r="D23" s="24">
        <v>291</v>
      </c>
      <c r="E23" s="23" t="s">
        <v>63</v>
      </c>
      <c r="F23" s="25">
        <v>2</v>
      </c>
      <c r="G23" s="22" t="s">
        <v>57</v>
      </c>
      <c r="H23" s="23"/>
      <c r="I23" s="27"/>
      <c r="J23" s="40">
        <f t="shared" si="0"/>
        <v>0</v>
      </c>
      <c r="K23" s="44" t="s">
        <v>58</v>
      </c>
      <c r="L23" s="27"/>
      <c r="M23" s="29"/>
      <c r="N23" s="28"/>
      <c r="O23" s="29"/>
    </row>
    <row r="24" spans="1:15" x14ac:dyDescent="0.25">
      <c r="A24" t="s">
        <v>45</v>
      </c>
      <c r="B24" s="22">
        <v>60</v>
      </c>
      <c r="C24" s="23" t="s">
        <v>61</v>
      </c>
      <c r="D24" s="24">
        <v>300</v>
      </c>
      <c r="E24" s="23" t="s">
        <v>64</v>
      </c>
      <c r="F24" s="25">
        <v>2</v>
      </c>
      <c r="G24" s="22" t="s">
        <v>57</v>
      </c>
      <c r="H24" s="23"/>
      <c r="I24" s="27"/>
      <c r="J24" s="40">
        <f t="shared" si="0"/>
        <v>0</v>
      </c>
      <c r="K24" s="44" t="s">
        <v>58</v>
      </c>
      <c r="L24" s="27"/>
      <c r="M24" s="29"/>
      <c r="N24" s="28"/>
      <c r="O24" s="29"/>
    </row>
    <row r="25" spans="1:15" x14ac:dyDescent="0.25">
      <c r="A25" t="s">
        <v>45</v>
      </c>
      <c r="B25" s="22">
        <v>70</v>
      </c>
      <c r="C25" s="23" t="s">
        <v>61</v>
      </c>
      <c r="D25" s="24">
        <v>311</v>
      </c>
      <c r="E25" s="23" t="s">
        <v>65</v>
      </c>
      <c r="F25" s="25">
        <v>2</v>
      </c>
      <c r="G25" s="22" t="s">
        <v>57</v>
      </c>
      <c r="H25" s="23"/>
      <c r="I25" s="27"/>
      <c r="J25" s="40">
        <f t="shared" si="0"/>
        <v>0</v>
      </c>
      <c r="K25" s="44" t="s">
        <v>58</v>
      </c>
      <c r="L25" s="27"/>
      <c r="M25" s="29"/>
      <c r="N25" s="28"/>
      <c r="O25" s="29"/>
    </row>
    <row r="26" spans="1:15" x14ac:dyDescent="0.25">
      <c r="A26" t="s">
        <v>45</v>
      </c>
      <c r="B26" s="22">
        <v>80</v>
      </c>
      <c r="C26" s="23" t="s">
        <v>66</v>
      </c>
      <c r="D26" s="24">
        <v>391</v>
      </c>
      <c r="E26" s="23" t="s">
        <v>67</v>
      </c>
      <c r="F26" s="25">
        <v>360</v>
      </c>
      <c r="G26" s="22" t="s">
        <v>68</v>
      </c>
      <c r="H26" s="23"/>
      <c r="I26" s="27"/>
      <c r="J26" s="40">
        <f t="shared" si="0"/>
        <v>0</v>
      </c>
      <c r="K26" s="44" t="s">
        <v>58</v>
      </c>
      <c r="L26" s="27"/>
      <c r="M26" s="29"/>
      <c r="N26" s="28"/>
      <c r="O26" s="29"/>
    </row>
    <row r="27" spans="1:15" x14ac:dyDescent="0.25">
      <c r="A27" t="s">
        <v>45</v>
      </c>
      <c r="B27" s="22">
        <v>90</v>
      </c>
      <c r="C27" s="23" t="s">
        <v>66</v>
      </c>
      <c r="D27" s="24">
        <v>399</v>
      </c>
      <c r="E27" s="23" t="s">
        <v>69</v>
      </c>
      <c r="F27" s="25">
        <v>24</v>
      </c>
      <c r="G27" s="22" t="s">
        <v>70</v>
      </c>
      <c r="H27" s="23"/>
      <c r="I27" s="27"/>
      <c r="J27" s="40">
        <f t="shared" si="0"/>
        <v>0</v>
      </c>
      <c r="K27" s="44" t="s">
        <v>58</v>
      </c>
      <c r="L27" s="27"/>
      <c r="M27" s="29"/>
      <c r="N27" s="28"/>
      <c r="O27" s="29"/>
    </row>
    <row r="28" spans="1:15" x14ac:dyDescent="0.25">
      <c r="A28" t="s">
        <v>45</v>
      </c>
      <c r="B28" s="22">
        <v>100</v>
      </c>
      <c r="C28" s="23" t="s">
        <v>71</v>
      </c>
      <c r="D28" s="24">
        <v>771</v>
      </c>
      <c r="E28" s="23" t="s">
        <v>72</v>
      </c>
      <c r="F28" s="25">
        <v>10</v>
      </c>
      <c r="G28" s="22" t="s">
        <v>57</v>
      </c>
      <c r="H28" s="23"/>
      <c r="I28" s="27"/>
      <c r="J28" s="40">
        <f t="shared" si="0"/>
        <v>0</v>
      </c>
      <c r="K28" s="44" t="s">
        <v>58</v>
      </c>
      <c r="L28" s="27"/>
      <c r="M28" s="29"/>
      <c r="N28" s="28"/>
      <c r="O28" s="29"/>
    </row>
    <row r="29" spans="1:15" x14ac:dyDescent="0.25">
      <c r="A29" t="s">
        <v>45</v>
      </c>
      <c r="B29" s="22">
        <v>110</v>
      </c>
      <c r="C29" s="23" t="s">
        <v>71</v>
      </c>
      <c r="D29" s="24">
        <v>750</v>
      </c>
      <c r="E29" s="23" t="s">
        <v>73</v>
      </c>
      <c r="F29" s="25">
        <v>10</v>
      </c>
      <c r="G29" s="22" t="s">
        <v>57</v>
      </c>
      <c r="H29" s="23"/>
      <c r="I29" s="27"/>
      <c r="J29" s="40">
        <f t="shared" si="0"/>
        <v>0</v>
      </c>
      <c r="K29" s="44" t="s">
        <v>58</v>
      </c>
      <c r="L29" s="27"/>
      <c r="M29" s="29"/>
      <c r="N29" s="28"/>
      <c r="O29" s="29"/>
    </row>
    <row r="30" spans="1:15" x14ac:dyDescent="0.25">
      <c r="A30" t="s">
        <v>45</v>
      </c>
      <c r="B30" s="22">
        <v>120</v>
      </c>
      <c r="C30" s="23" t="s">
        <v>71</v>
      </c>
      <c r="D30" s="24">
        <v>531</v>
      </c>
      <c r="E30" s="23" t="s">
        <v>74</v>
      </c>
      <c r="F30" s="25">
        <v>2</v>
      </c>
      <c r="G30" s="22" t="s">
        <v>57</v>
      </c>
      <c r="H30" s="23"/>
      <c r="I30" s="27"/>
      <c r="J30" s="40">
        <f t="shared" si="0"/>
        <v>0</v>
      </c>
      <c r="K30" s="44" t="s">
        <v>58</v>
      </c>
      <c r="L30" s="27"/>
      <c r="M30" s="29"/>
      <c r="N30" s="28"/>
      <c r="O30" s="29"/>
    </row>
    <row r="31" spans="1:15" x14ac:dyDescent="0.25">
      <c r="A31" t="s">
        <v>45</v>
      </c>
      <c r="B31" s="22">
        <v>130</v>
      </c>
      <c r="C31" s="23" t="s">
        <v>71</v>
      </c>
      <c r="D31" s="24">
        <v>532</v>
      </c>
      <c r="E31" s="23" t="s">
        <v>75</v>
      </c>
      <c r="F31" s="25">
        <v>2</v>
      </c>
      <c r="G31" s="22" t="s">
        <v>57</v>
      </c>
      <c r="H31" s="23"/>
      <c r="I31" s="27"/>
      <c r="J31" s="40">
        <f t="shared" si="0"/>
        <v>0</v>
      </c>
      <c r="K31" s="44" t="s">
        <v>58</v>
      </c>
      <c r="L31" s="27"/>
      <c r="M31" s="29"/>
      <c r="N31" s="28"/>
      <c r="O31" s="29"/>
    </row>
    <row r="32" spans="1:15" x14ac:dyDescent="0.25">
      <c r="A32" t="s">
        <v>45</v>
      </c>
      <c r="B32" s="22">
        <v>140</v>
      </c>
      <c r="C32" s="23" t="s">
        <v>71</v>
      </c>
      <c r="D32" s="24">
        <v>494</v>
      </c>
      <c r="E32" s="23" t="s">
        <v>76</v>
      </c>
      <c r="F32" s="25">
        <v>3</v>
      </c>
      <c r="G32" s="22" t="s">
        <v>57</v>
      </c>
      <c r="H32" s="23"/>
      <c r="I32" s="27"/>
      <c r="J32" s="40">
        <f t="shared" si="0"/>
        <v>0</v>
      </c>
      <c r="K32" s="44" t="s">
        <v>58</v>
      </c>
      <c r="L32" s="27"/>
      <c r="M32" s="29"/>
      <c r="N32" s="28"/>
      <c r="O32" s="29"/>
    </row>
    <row r="33" spans="1:15" x14ac:dyDescent="0.25">
      <c r="A33" t="s">
        <v>45</v>
      </c>
      <c r="B33" s="22">
        <v>150</v>
      </c>
      <c r="C33" s="23" t="s">
        <v>71</v>
      </c>
      <c r="D33" s="24">
        <v>513</v>
      </c>
      <c r="E33" s="23" t="s">
        <v>77</v>
      </c>
      <c r="F33" s="25">
        <v>6</v>
      </c>
      <c r="G33" s="22" t="s">
        <v>57</v>
      </c>
      <c r="H33" s="23"/>
      <c r="I33" s="27"/>
      <c r="J33" s="40">
        <f t="shared" si="0"/>
        <v>0</v>
      </c>
      <c r="K33" s="44" t="s">
        <v>58</v>
      </c>
      <c r="L33" s="27"/>
      <c r="M33" s="29"/>
      <c r="N33" s="28"/>
      <c r="O33" s="29"/>
    </row>
    <row r="34" spans="1:15" x14ac:dyDescent="0.25">
      <c r="A34" t="s">
        <v>45</v>
      </c>
      <c r="B34" s="22">
        <v>160</v>
      </c>
      <c r="C34" s="23" t="s">
        <v>71</v>
      </c>
      <c r="D34" s="24">
        <v>492</v>
      </c>
      <c r="E34" s="23" t="s">
        <v>78</v>
      </c>
      <c r="F34" s="25">
        <v>3</v>
      </c>
      <c r="G34" s="22" t="s">
        <v>57</v>
      </c>
      <c r="H34" s="23"/>
      <c r="I34" s="27"/>
      <c r="J34" s="40">
        <f t="shared" si="0"/>
        <v>0</v>
      </c>
      <c r="K34" s="44" t="s">
        <v>58</v>
      </c>
      <c r="L34" s="27"/>
      <c r="M34" s="29"/>
      <c r="N34" s="28"/>
      <c r="O34" s="29"/>
    </row>
    <row r="35" spans="1:15" x14ac:dyDescent="0.25">
      <c r="A35" t="s">
        <v>45</v>
      </c>
      <c r="B35" s="22">
        <v>170</v>
      </c>
      <c r="C35" s="23" t="s">
        <v>71</v>
      </c>
      <c r="D35" s="24">
        <v>496</v>
      </c>
      <c r="E35" s="23" t="s">
        <v>79</v>
      </c>
      <c r="F35" s="25">
        <v>2</v>
      </c>
      <c r="G35" s="22" t="s">
        <v>57</v>
      </c>
      <c r="H35" s="23"/>
      <c r="I35" s="27"/>
      <c r="J35" s="40">
        <f t="shared" si="0"/>
        <v>0</v>
      </c>
      <c r="K35" s="44" t="s">
        <v>58</v>
      </c>
      <c r="L35" s="27"/>
      <c r="M35" s="29"/>
      <c r="N35" s="28"/>
      <c r="O35" s="29"/>
    </row>
    <row r="36" spans="1:15" x14ac:dyDescent="0.25">
      <c r="A36" t="s">
        <v>45</v>
      </c>
      <c r="B36" s="22">
        <v>180</v>
      </c>
      <c r="C36" s="23" t="s">
        <v>71</v>
      </c>
      <c r="D36" s="24">
        <v>546</v>
      </c>
      <c r="E36" s="23" t="s">
        <v>80</v>
      </c>
      <c r="F36" s="25">
        <v>5</v>
      </c>
      <c r="G36" s="22" t="s">
        <v>57</v>
      </c>
      <c r="H36" s="23"/>
      <c r="I36" s="27"/>
      <c r="J36" s="40">
        <f t="shared" si="0"/>
        <v>0</v>
      </c>
      <c r="K36" s="44" t="s">
        <v>58</v>
      </c>
      <c r="L36" s="27"/>
      <c r="M36" s="29"/>
      <c r="N36" s="28"/>
      <c r="O36" s="29"/>
    </row>
    <row r="37" spans="1:15" x14ac:dyDescent="0.25">
      <c r="A37" t="s">
        <v>45</v>
      </c>
      <c r="B37" s="22">
        <v>190</v>
      </c>
      <c r="C37" s="23" t="s">
        <v>71</v>
      </c>
      <c r="D37" s="24">
        <v>746</v>
      </c>
      <c r="E37" s="23" t="s">
        <v>81</v>
      </c>
      <c r="F37" s="25">
        <v>4</v>
      </c>
      <c r="G37" s="22" t="s">
        <v>57</v>
      </c>
      <c r="H37" s="23"/>
      <c r="I37" s="27"/>
      <c r="J37" s="40">
        <f t="shared" si="0"/>
        <v>0</v>
      </c>
      <c r="K37" s="44" t="s">
        <v>58</v>
      </c>
      <c r="L37" s="27"/>
      <c r="M37" s="29"/>
      <c r="N37" s="28"/>
      <c r="O37" s="29"/>
    </row>
    <row r="38" spans="1:15" x14ac:dyDescent="0.25">
      <c r="A38" t="s">
        <v>45</v>
      </c>
      <c r="B38" s="22">
        <v>200</v>
      </c>
      <c r="C38" s="23" t="s">
        <v>71</v>
      </c>
      <c r="D38" s="24">
        <v>1374</v>
      </c>
      <c r="E38" s="23" t="s">
        <v>82</v>
      </c>
      <c r="F38" s="25">
        <v>3</v>
      </c>
      <c r="G38" s="22" t="s">
        <v>57</v>
      </c>
      <c r="H38" s="23"/>
      <c r="I38" s="27"/>
      <c r="J38" s="40">
        <f t="shared" si="0"/>
        <v>0</v>
      </c>
      <c r="K38" s="44" t="s">
        <v>58</v>
      </c>
      <c r="L38" s="27"/>
      <c r="M38" s="29"/>
      <c r="N38" s="28"/>
      <c r="O38" s="29"/>
    </row>
    <row r="39" spans="1:15" x14ac:dyDescent="0.25">
      <c r="A39" t="s">
        <v>45</v>
      </c>
      <c r="B39" s="22">
        <v>210</v>
      </c>
      <c r="C39" s="23" t="s">
        <v>71</v>
      </c>
      <c r="D39" s="24">
        <v>511</v>
      </c>
      <c r="E39" s="23" t="s">
        <v>83</v>
      </c>
      <c r="F39" s="25">
        <v>1</v>
      </c>
      <c r="G39" s="22" t="s">
        <v>57</v>
      </c>
      <c r="H39" s="23"/>
      <c r="I39" s="27"/>
      <c r="J39" s="40">
        <f t="shared" si="0"/>
        <v>0</v>
      </c>
      <c r="K39" s="44" t="s">
        <v>58</v>
      </c>
      <c r="L39" s="27"/>
      <c r="M39" s="29"/>
      <c r="N39" s="28"/>
      <c r="O39" s="29"/>
    </row>
    <row r="40" spans="1:15" x14ac:dyDescent="0.25">
      <c r="A40" t="s">
        <v>45</v>
      </c>
      <c r="B40" s="22">
        <v>220</v>
      </c>
      <c r="C40" s="23" t="s">
        <v>71</v>
      </c>
      <c r="D40" s="24">
        <v>503</v>
      </c>
      <c r="E40" s="23" t="s">
        <v>84</v>
      </c>
      <c r="F40" s="25">
        <v>4</v>
      </c>
      <c r="G40" s="22" t="s">
        <v>57</v>
      </c>
      <c r="H40" s="23"/>
      <c r="I40" s="27"/>
      <c r="J40" s="40">
        <f t="shared" si="0"/>
        <v>0</v>
      </c>
      <c r="K40" s="44" t="s">
        <v>58</v>
      </c>
      <c r="L40" s="27"/>
      <c r="M40" s="29"/>
      <c r="N40" s="28"/>
      <c r="O40" s="29"/>
    </row>
    <row r="41" spans="1:15" x14ac:dyDescent="0.25">
      <c r="A41" t="s">
        <v>45</v>
      </c>
      <c r="B41" s="22">
        <v>230</v>
      </c>
      <c r="C41" s="23" t="s">
        <v>71</v>
      </c>
      <c r="D41" s="24">
        <v>761</v>
      </c>
      <c r="E41" s="23" t="s">
        <v>85</v>
      </c>
      <c r="F41" s="25">
        <v>2</v>
      </c>
      <c r="G41" s="22" t="s">
        <v>57</v>
      </c>
      <c r="H41" s="23"/>
      <c r="I41" s="27"/>
      <c r="J41" s="40">
        <f t="shared" si="0"/>
        <v>0</v>
      </c>
      <c r="K41" s="44" t="s">
        <v>58</v>
      </c>
      <c r="L41" s="27"/>
      <c r="M41" s="29"/>
      <c r="N41" s="28"/>
      <c r="O41" s="29"/>
    </row>
    <row r="42" spans="1:15" x14ac:dyDescent="0.25">
      <c r="A42" t="s">
        <v>45</v>
      </c>
      <c r="B42" s="22">
        <v>240</v>
      </c>
      <c r="C42" s="23" t="s">
        <v>71</v>
      </c>
      <c r="D42" s="24">
        <v>537</v>
      </c>
      <c r="E42" s="23" t="s">
        <v>86</v>
      </c>
      <c r="F42" s="25">
        <v>1</v>
      </c>
      <c r="G42" s="22" t="s">
        <v>57</v>
      </c>
      <c r="H42" s="23"/>
      <c r="I42" s="27"/>
      <c r="J42" s="40">
        <f t="shared" si="0"/>
        <v>0</v>
      </c>
      <c r="K42" s="44" t="s">
        <v>58</v>
      </c>
      <c r="L42" s="27"/>
      <c r="M42" s="29"/>
      <c r="N42" s="28"/>
      <c r="O42" s="29"/>
    </row>
    <row r="43" spans="1:15" x14ac:dyDescent="0.25">
      <c r="A43" t="s">
        <v>45</v>
      </c>
      <c r="B43" s="22">
        <v>250</v>
      </c>
      <c r="C43" s="23" t="s">
        <v>71</v>
      </c>
      <c r="D43" s="24">
        <v>561</v>
      </c>
      <c r="E43" s="23" t="s">
        <v>87</v>
      </c>
      <c r="F43" s="25">
        <v>1</v>
      </c>
      <c r="G43" s="22" t="s">
        <v>57</v>
      </c>
      <c r="H43" s="23"/>
      <c r="I43" s="27"/>
      <c r="J43" s="40">
        <f t="shared" si="0"/>
        <v>0</v>
      </c>
      <c r="K43" s="44" t="s">
        <v>58</v>
      </c>
      <c r="L43" s="27"/>
      <c r="M43" s="29"/>
      <c r="N43" s="28"/>
      <c r="O43" s="29"/>
    </row>
    <row r="44" spans="1:15" x14ac:dyDescent="0.25">
      <c r="A44" t="s">
        <v>45</v>
      </c>
      <c r="B44" s="22">
        <v>260</v>
      </c>
      <c r="C44" s="23" t="s">
        <v>71</v>
      </c>
      <c r="D44" s="24">
        <v>563</v>
      </c>
      <c r="E44" s="23" t="s">
        <v>88</v>
      </c>
      <c r="F44" s="25">
        <v>3</v>
      </c>
      <c r="G44" s="22" t="s">
        <v>57</v>
      </c>
      <c r="H44" s="23"/>
      <c r="I44" s="27"/>
      <c r="J44" s="40">
        <f t="shared" si="0"/>
        <v>0</v>
      </c>
      <c r="K44" s="44" t="s">
        <v>58</v>
      </c>
      <c r="L44" s="27"/>
      <c r="M44" s="29"/>
      <c r="N44" s="28"/>
      <c r="O44" s="29"/>
    </row>
    <row r="45" spans="1:15" x14ac:dyDescent="0.25">
      <c r="A45" t="s">
        <v>45</v>
      </c>
      <c r="B45" s="22">
        <v>270</v>
      </c>
      <c r="C45" s="23" t="s">
        <v>71</v>
      </c>
      <c r="D45" s="24">
        <v>566</v>
      </c>
      <c r="E45" s="23" t="s">
        <v>89</v>
      </c>
      <c r="F45" s="25">
        <v>15</v>
      </c>
      <c r="G45" s="22" t="s">
        <v>57</v>
      </c>
      <c r="H45" s="23"/>
      <c r="I45" s="27"/>
      <c r="J45" s="40">
        <f t="shared" si="0"/>
        <v>0</v>
      </c>
      <c r="K45" s="44" t="s">
        <v>58</v>
      </c>
      <c r="L45" s="27"/>
      <c r="M45" s="29"/>
      <c r="N45" s="28"/>
      <c r="O45" s="29"/>
    </row>
    <row r="46" spans="1:15" x14ac:dyDescent="0.25">
      <c r="A46" t="s">
        <v>45</v>
      </c>
      <c r="B46" s="22">
        <v>280</v>
      </c>
      <c r="C46" s="23" t="s">
        <v>71</v>
      </c>
      <c r="D46" s="24">
        <v>743</v>
      </c>
      <c r="E46" s="23" t="s">
        <v>90</v>
      </c>
      <c r="F46" s="25">
        <v>5</v>
      </c>
      <c r="G46" s="22" t="s">
        <v>57</v>
      </c>
      <c r="H46" s="23"/>
      <c r="I46" s="27"/>
      <c r="J46" s="40">
        <f t="shared" si="0"/>
        <v>0</v>
      </c>
      <c r="K46" s="44" t="s">
        <v>58</v>
      </c>
      <c r="L46" s="27"/>
      <c r="M46" s="29"/>
      <c r="N46" s="28"/>
      <c r="O46" s="29"/>
    </row>
    <row r="47" spans="1:15" x14ac:dyDescent="0.25">
      <c r="A47" t="s">
        <v>45</v>
      </c>
      <c r="B47" s="22">
        <v>290</v>
      </c>
      <c r="C47" s="23" t="s">
        <v>71</v>
      </c>
      <c r="D47" s="24">
        <v>1337</v>
      </c>
      <c r="E47" s="23" t="s">
        <v>91</v>
      </c>
      <c r="F47" s="25">
        <v>1</v>
      </c>
      <c r="G47" s="22" t="s">
        <v>57</v>
      </c>
      <c r="H47" s="23"/>
      <c r="I47" s="27"/>
      <c r="J47" s="40">
        <f t="shared" si="0"/>
        <v>0</v>
      </c>
      <c r="K47" s="44" t="s">
        <v>58</v>
      </c>
      <c r="L47" s="27"/>
      <c r="M47" s="29"/>
      <c r="N47" s="28"/>
      <c r="O47" s="29"/>
    </row>
    <row r="48" spans="1:15" x14ac:dyDescent="0.25">
      <c r="A48" t="s">
        <v>45</v>
      </c>
      <c r="B48" s="22">
        <v>300</v>
      </c>
      <c r="C48" s="23" t="s">
        <v>71</v>
      </c>
      <c r="D48" s="24">
        <v>514</v>
      </c>
      <c r="E48" s="23" t="s">
        <v>92</v>
      </c>
      <c r="F48" s="25">
        <v>20</v>
      </c>
      <c r="G48" s="22" t="s">
        <v>57</v>
      </c>
      <c r="H48" s="23"/>
      <c r="I48" s="27"/>
      <c r="J48" s="40">
        <f t="shared" si="0"/>
        <v>0</v>
      </c>
      <c r="K48" s="44" t="s">
        <v>58</v>
      </c>
      <c r="L48" s="27"/>
      <c r="M48" s="29"/>
      <c r="N48" s="28"/>
      <c r="O48" s="29"/>
    </row>
    <row r="49" spans="1:15" x14ac:dyDescent="0.25">
      <c r="A49" t="s">
        <v>45</v>
      </c>
      <c r="B49" s="22">
        <v>310</v>
      </c>
      <c r="C49" s="23" t="s">
        <v>71</v>
      </c>
      <c r="D49" s="24">
        <v>762</v>
      </c>
      <c r="E49" s="23" t="s">
        <v>93</v>
      </c>
      <c r="F49" s="25">
        <v>2</v>
      </c>
      <c r="G49" s="22" t="s">
        <v>57</v>
      </c>
      <c r="H49" s="23"/>
      <c r="I49" s="27"/>
      <c r="J49" s="40">
        <f t="shared" si="0"/>
        <v>0</v>
      </c>
      <c r="K49" s="44" t="s">
        <v>58</v>
      </c>
      <c r="L49" s="27"/>
      <c r="M49" s="29"/>
      <c r="N49" s="28"/>
      <c r="O49" s="29"/>
    </row>
    <row r="50" spans="1:15" x14ac:dyDescent="0.25">
      <c r="A50" t="s">
        <v>45</v>
      </c>
      <c r="B50" s="22">
        <v>320</v>
      </c>
      <c r="C50" s="23" t="s">
        <v>71</v>
      </c>
      <c r="D50" s="24">
        <v>520</v>
      </c>
      <c r="E50" s="23" t="s">
        <v>94</v>
      </c>
      <c r="F50" s="25">
        <v>1</v>
      </c>
      <c r="G50" s="22" t="s">
        <v>57</v>
      </c>
      <c r="H50" s="23"/>
      <c r="I50" s="27"/>
      <c r="J50" s="40">
        <f t="shared" si="0"/>
        <v>0</v>
      </c>
      <c r="K50" s="44" t="s">
        <v>58</v>
      </c>
      <c r="L50" s="27"/>
      <c r="M50" s="29"/>
      <c r="N50" s="28"/>
      <c r="O50" s="29"/>
    </row>
    <row r="51" spans="1:15" x14ac:dyDescent="0.25">
      <c r="A51" t="s">
        <v>45</v>
      </c>
      <c r="B51" s="22">
        <v>330</v>
      </c>
      <c r="C51" s="23" t="s">
        <v>71</v>
      </c>
      <c r="D51" s="24">
        <v>490</v>
      </c>
      <c r="E51" s="23" t="s">
        <v>95</v>
      </c>
      <c r="F51" s="25">
        <v>1</v>
      </c>
      <c r="G51" s="22" t="s">
        <v>57</v>
      </c>
      <c r="H51" s="23"/>
      <c r="I51" s="27"/>
      <c r="J51" s="40">
        <f t="shared" si="0"/>
        <v>0</v>
      </c>
      <c r="K51" s="44" t="s">
        <v>58</v>
      </c>
      <c r="L51" s="27"/>
      <c r="M51" s="29"/>
      <c r="N51" s="28"/>
      <c r="O51" s="29"/>
    </row>
    <row r="52" spans="1:15" x14ac:dyDescent="0.25">
      <c r="A52" t="s">
        <v>45</v>
      </c>
      <c r="B52" s="22">
        <v>340</v>
      </c>
      <c r="C52" s="23" t="s">
        <v>71</v>
      </c>
      <c r="D52" s="24">
        <v>763</v>
      </c>
      <c r="E52" s="23" t="s">
        <v>96</v>
      </c>
      <c r="F52" s="25">
        <v>5</v>
      </c>
      <c r="G52" s="22" t="s">
        <v>57</v>
      </c>
      <c r="H52" s="23"/>
      <c r="I52" s="27"/>
      <c r="J52" s="40">
        <f t="shared" si="0"/>
        <v>0</v>
      </c>
      <c r="K52" s="44" t="s">
        <v>58</v>
      </c>
      <c r="L52" s="27"/>
      <c r="M52" s="29"/>
      <c r="N52" s="28"/>
      <c r="O52" s="29"/>
    </row>
    <row r="53" spans="1:15" x14ac:dyDescent="0.25">
      <c r="A53" t="s">
        <v>45</v>
      </c>
      <c r="B53" s="22">
        <v>350</v>
      </c>
      <c r="C53" s="23" t="s">
        <v>71</v>
      </c>
      <c r="D53" s="24">
        <v>558</v>
      </c>
      <c r="E53" s="23" t="s">
        <v>97</v>
      </c>
      <c r="F53" s="25">
        <v>6</v>
      </c>
      <c r="G53" s="22" t="s">
        <v>57</v>
      </c>
      <c r="H53" s="23"/>
      <c r="I53" s="27"/>
      <c r="J53" s="40">
        <f t="shared" si="0"/>
        <v>0</v>
      </c>
      <c r="K53" s="44" t="s">
        <v>58</v>
      </c>
      <c r="L53" s="27"/>
      <c r="M53" s="29"/>
      <c r="N53" s="28"/>
      <c r="O53" s="29"/>
    </row>
    <row r="54" spans="1:15" x14ac:dyDescent="0.25">
      <c r="A54" t="s">
        <v>45</v>
      </c>
      <c r="B54" s="22">
        <v>360</v>
      </c>
      <c r="C54" s="23" t="s">
        <v>71</v>
      </c>
      <c r="D54" s="24">
        <v>560</v>
      </c>
      <c r="E54" s="23" t="s">
        <v>98</v>
      </c>
      <c r="F54" s="25">
        <v>3</v>
      </c>
      <c r="G54" s="22" t="s">
        <v>57</v>
      </c>
      <c r="H54" s="23"/>
      <c r="I54" s="27"/>
      <c r="J54" s="40">
        <f t="shared" si="0"/>
        <v>0</v>
      </c>
      <c r="K54" s="44" t="s">
        <v>58</v>
      </c>
      <c r="L54" s="27"/>
      <c r="M54" s="29"/>
      <c r="N54" s="28"/>
      <c r="O54" s="29"/>
    </row>
    <row r="55" spans="1:15" x14ac:dyDescent="0.25">
      <c r="A55" t="s">
        <v>45</v>
      </c>
      <c r="B55" s="22">
        <v>370</v>
      </c>
      <c r="C55" s="23" t="s">
        <v>99</v>
      </c>
      <c r="D55" s="24">
        <v>1098</v>
      </c>
      <c r="E55" s="23" t="s">
        <v>100</v>
      </c>
      <c r="F55" s="25">
        <v>5</v>
      </c>
      <c r="G55" s="22" t="s">
        <v>70</v>
      </c>
      <c r="H55" s="23"/>
      <c r="I55" s="27"/>
      <c r="J55" s="40">
        <f t="shared" si="0"/>
        <v>0</v>
      </c>
      <c r="K55" s="44" t="s">
        <v>58</v>
      </c>
      <c r="L55" s="27"/>
      <c r="M55" s="29"/>
      <c r="N55" s="28"/>
      <c r="O55" s="29"/>
    </row>
    <row r="56" spans="1:15" x14ac:dyDescent="0.25">
      <c r="A56" t="s">
        <v>45</v>
      </c>
      <c r="B56" s="22">
        <v>380</v>
      </c>
      <c r="C56" s="23" t="s">
        <v>99</v>
      </c>
      <c r="D56" s="24">
        <v>1142</v>
      </c>
      <c r="E56" s="23" t="s">
        <v>101</v>
      </c>
      <c r="F56" s="25">
        <v>2</v>
      </c>
      <c r="G56" s="22" t="s">
        <v>102</v>
      </c>
      <c r="H56" s="23"/>
      <c r="I56" s="27"/>
      <c r="J56" s="40">
        <f t="shared" si="0"/>
        <v>0</v>
      </c>
      <c r="K56" s="44" t="s">
        <v>58</v>
      </c>
      <c r="L56" s="27"/>
      <c r="M56" s="29"/>
      <c r="N56" s="28"/>
      <c r="O56" s="29"/>
    </row>
    <row r="57" spans="1:15" x14ac:dyDescent="0.25">
      <c r="A57" t="s">
        <v>45</v>
      </c>
      <c r="B57" s="22">
        <v>390</v>
      </c>
      <c r="C57" s="23" t="s">
        <v>99</v>
      </c>
      <c r="D57" s="24">
        <v>1213</v>
      </c>
      <c r="E57" s="23" t="s">
        <v>103</v>
      </c>
      <c r="F57" s="25">
        <v>1</v>
      </c>
      <c r="G57" s="22" t="s">
        <v>70</v>
      </c>
      <c r="H57" s="23"/>
      <c r="I57" s="27"/>
      <c r="J57" s="40">
        <f t="shared" si="0"/>
        <v>0</v>
      </c>
      <c r="K57" s="44" t="s">
        <v>58</v>
      </c>
      <c r="L57" s="27"/>
      <c r="M57" s="29"/>
      <c r="N57" s="28"/>
      <c r="O57" s="29"/>
    </row>
    <row r="58" spans="1:15" x14ac:dyDescent="0.25">
      <c r="A58" t="s">
        <v>45</v>
      </c>
      <c r="B58" s="22">
        <v>400</v>
      </c>
      <c r="C58" s="23" t="s">
        <v>104</v>
      </c>
      <c r="D58" s="24">
        <v>1415</v>
      </c>
      <c r="E58" s="23" t="s">
        <v>105</v>
      </c>
      <c r="F58" s="25">
        <v>12</v>
      </c>
      <c r="G58" s="22" t="s">
        <v>68</v>
      </c>
      <c r="H58" s="23"/>
      <c r="I58" s="27"/>
      <c r="J58" s="40">
        <f t="shared" si="0"/>
        <v>0</v>
      </c>
      <c r="K58" s="44" t="s">
        <v>58</v>
      </c>
      <c r="L58" s="27"/>
      <c r="M58" s="29"/>
      <c r="N58" s="28"/>
      <c r="O58" s="29"/>
    </row>
    <row r="59" spans="1:15" x14ac:dyDescent="0.25">
      <c r="A59" t="s">
        <v>45</v>
      </c>
      <c r="B59" s="22">
        <v>410</v>
      </c>
      <c r="C59" s="23" t="s">
        <v>106</v>
      </c>
      <c r="D59" s="24">
        <v>1548</v>
      </c>
      <c r="E59" s="23" t="s">
        <v>107</v>
      </c>
      <c r="F59" s="25">
        <v>10</v>
      </c>
      <c r="G59" s="22" t="s">
        <v>108</v>
      </c>
      <c r="H59" s="23"/>
      <c r="I59" s="27"/>
      <c r="J59" s="40">
        <f t="shared" si="0"/>
        <v>0</v>
      </c>
      <c r="K59" s="44" t="s">
        <v>58</v>
      </c>
      <c r="L59" s="27"/>
      <c r="M59" s="29"/>
      <c r="N59" s="28"/>
      <c r="O59" s="29"/>
    </row>
    <row r="1047548" ht="12.75" customHeight="1" x14ac:dyDescent="0.25"/>
    <row r="1047549" ht="12.75" customHeight="1" x14ac:dyDescent="0.25"/>
    <row r="1047550" ht="12.75" customHeight="1" x14ac:dyDescent="0.25"/>
  </sheetData>
  <sheetProtection password="C98C" sheet="1" objects="1" scenarios="1"/>
  <mergeCells count="11">
    <mergeCell ref="I15:O15"/>
    <mergeCell ref="B11:D11"/>
    <mergeCell ref="B12:D12"/>
    <mergeCell ref="B13:D13"/>
    <mergeCell ref="B14:D14"/>
    <mergeCell ref="B15:D15"/>
    <mergeCell ref="B5:D5"/>
    <mergeCell ref="B6:D6"/>
    <mergeCell ref="B8:D8"/>
    <mergeCell ref="B9:D9"/>
    <mergeCell ref="B10:D10"/>
  </mergeCells>
  <dataValidations count="3">
    <dataValidation type="custom" allowBlank="1" showInputMessage="1" showErrorMessage="1" errorTitle="Wrong Quantity" error="Please check 'Minimum Size' column for case sizes and kindly order in multiples of these values only!" sqref="F19">
      <formula1>F19-#REF!*INT(F19/#REF!)=0</formula1>
      <formula2>0</formula2>
    </dataValidation>
    <dataValidation type="decimal" operator="greaterThan" allowBlank="1" showInputMessage="1" showErrorMessage="1" errorTitle="Minimum Order Quantity failed" error="Only numbers greater than 0 allowed" sqref="L19:L1059">
      <formula1>0</formula1>
    </dataValidation>
    <dataValidation type="decimal" operator="greaterThanOrEqual" allowBlank="1" showInputMessage="1" showErrorMessage="1" errorTitle="Price/Unit failed" error="Only numbers allowed" sqref="I19:I1059">
      <formula1>0</formula1>
    </dataValidation>
  </dataValidations>
  <pageMargins left="0.7" right="0.7" top="0.78749999999999998" bottom="0.78749999999999998" header="0.511811023622047" footer="0.511811023622047"/>
  <pageSetup paperSize="9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17</vt:i4>
      </vt:variant>
    </vt:vector>
  </HeadingPairs>
  <TitlesOfParts>
    <vt:vector size="18" baseType="lpstr">
      <vt:lpstr>ProvisionItems</vt:lpstr>
      <vt:lpstr>Agent</vt:lpstr>
      <vt:lpstr>Captain</vt:lpstr>
      <vt:lpstr>Cook</vt:lpstr>
      <vt:lpstr>DeliveryPort</vt:lpstr>
      <vt:lpstr>DestinationOrderPositions</vt:lpstr>
      <vt:lpstr>ETA</vt:lpstr>
      <vt:lpstr>ETD</vt:lpstr>
      <vt:lpstr>NextMainOrder</vt:lpstr>
      <vt:lpstr>NumberOfCrew</vt:lpstr>
      <vt:lpstr>OrderConfirmationType</vt:lpstr>
      <vt:lpstr>OrderCurrency</vt:lpstr>
      <vt:lpstr>OrderDate</vt:lpstr>
      <vt:lpstr>OrderReference</vt:lpstr>
      <vt:lpstr>OrderTotalSupplier</vt:lpstr>
      <vt:lpstr>ShippingCompany</vt:lpstr>
      <vt:lpstr>VesselImoNumber</vt:lpstr>
      <vt:lpstr>VesselName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Söhl, Bernd</dc:creator>
  <cp:lastModifiedBy>Veit, Jennifer</cp:lastModifiedBy>
  <cp:revision>1</cp:revision>
  <cp:lastPrinted>2019-03-19T10:33:23Z</cp:lastPrinted>
  <dcterms:created xsi:type="dcterms:W3CDTF">2017-01-03T14:20:18Z</dcterms:created>
  <dcterms:modified xsi:type="dcterms:W3CDTF">2026-03-25T07:30:33Z</dcterms:modified>
  <dc:language>de-DE</dc:language>
</cp:coreProperties>
</file>