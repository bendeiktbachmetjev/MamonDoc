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marsgroup-my.sharepoint.com/personal/i_shelest_unimars_eu/Documents/Desktop/Kloska/"/>
    </mc:Choice>
  </mc:AlternateContent>
  <xr:revisionPtr revIDLastSave="3" documentId="8_{DB3DBEF2-40AC-4980-91FF-E6F2F965D27D}" xr6:coauthVersionLast="47" xr6:coauthVersionMax="47" xr10:uidLastSave="{171E5501-7FA2-452A-AA2D-A13864D4F35B}"/>
  <bookViews>
    <workbookView xWindow="-108" yWindow="-108" windowWidth="23256" windowHeight="12456" xr2:uid="{00000000-000D-0000-FFFF-FFFF00000000}"/>
  </bookViews>
  <sheets>
    <sheet name="Order" sheetId="1" r:id="rId1"/>
  </sheets>
  <definedNames>
    <definedName name="_xlnm._FilterDatabase" localSheetId="0" hidden="1">Order!$A$5:$E$5</definedName>
    <definedName name="HeaderRequest">Order!$B$4</definedName>
    <definedName name="HeaderSupplier">Order!$M$4</definedName>
  </definedNames>
  <calcPr calcId="191029"/>
</workbook>
</file>

<file path=xl/calcChain.xml><?xml version="1.0" encoding="utf-8"?>
<calcChain xmlns="http://schemas.openxmlformats.org/spreadsheetml/2006/main">
  <c r="G47" i="1" l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6" i="1" l="1"/>
  <c r="L47" i="1" s="1"/>
</calcChain>
</file>

<file path=xl/sharedStrings.xml><?xml version="1.0" encoding="utf-8"?>
<sst xmlns="http://schemas.openxmlformats.org/spreadsheetml/2006/main" count="150" uniqueCount="70">
  <si>
    <t>Unit</t>
  </si>
  <si>
    <t>Item Description</t>
  </si>
  <si>
    <t>kg</t>
  </si>
  <si>
    <t>Pos</t>
  </si>
  <si>
    <t>Price</t>
  </si>
  <si>
    <t>Cur.</t>
  </si>
  <si>
    <t>Item No.</t>
  </si>
  <si>
    <t>Changed by Kloska</t>
  </si>
  <si>
    <t>Supplier Item-No.</t>
  </si>
  <si>
    <t>Invoice Number(s)</t>
  </si>
  <si>
    <t>Invoice Date</t>
  </si>
  <si>
    <t>Delivery Date</t>
  </si>
  <si>
    <t>Order 
Qty</t>
  </si>
  <si>
    <t>Order 
Amount</t>
  </si>
  <si>
    <t>Invoice
Qty</t>
  </si>
  <si>
    <t>Invoice 
Amount</t>
  </si>
  <si>
    <t>Invoice
Remarks</t>
  </si>
  <si>
    <t>Supplier</t>
  </si>
  <si>
    <t>SVR Order 349485 =&gt; MV: Elbstrom (IMO 9369007) - ETA: 03.04.2026 - PORT: Klaipeda/Lithuania</t>
  </si>
  <si>
    <t>Unimars Lithuania</t>
  </si>
  <si>
    <t xml:space="preserve">Chicken, ovenready </t>
  </si>
  <si>
    <t>EUR</t>
  </si>
  <si>
    <t xml:space="preserve">Pork chops </t>
  </si>
  <si>
    <t xml:space="preserve">Pork neck boneless </t>
  </si>
  <si>
    <t xml:space="preserve">Frankfurter </t>
  </si>
  <si>
    <t xml:space="preserve">Mortadella </t>
  </si>
  <si>
    <t xml:space="preserve">Pork sausage </t>
  </si>
  <si>
    <t xml:space="preserve">Salami </t>
  </si>
  <si>
    <t xml:space="preserve">Eggs </t>
  </si>
  <si>
    <t>pcs</t>
  </si>
  <si>
    <t>Milk long life 3,5% 1 Ltr / 35,3 oz</t>
  </si>
  <si>
    <t>ltr</t>
  </si>
  <si>
    <t xml:space="preserve">Apples, green </t>
  </si>
  <si>
    <t xml:space="preserve">Bananas, half-ripe </t>
  </si>
  <si>
    <t xml:space="preserve">Bell Peppers, green, fresh </t>
  </si>
  <si>
    <t xml:space="preserve">Bell Peppers, red, fresh </t>
  </si>
  <si>
    <t xml:space="preserve">Broccoli, fresh </t>
  </si>
  <si>
    <t xml:space="preserve">Carrots, fresh </t>
  </si>
  <si>
    <t xml:space="preserve">Cauliflower, fresh </t>
  </si>
  <si>
    <t xml:space="preserve">Chayote, fresh </t>
  </si>
  <si>
    <t>X</t>
  </si>
  <si>
    <t xml:space="preserve">Cucumbers, fresh </t>
  </si>
  <si>
    <t xml:space="preserve">Eggplants, fresh </t>
  </si>
  <si>
    <t xml:space="preserve">Garlic, fresh </t>
  </si>
  <si>
    <t xml:space="preserve">Ginger, fresh </t>
  </si>
  <si>
    <t xml:space="preserve">Iceberg lettuce, fresh </t>
  </si>
  <si>
    <t xml:space="preserve">Kiwis </t>
  </si>
  <si>
    <t xml:space="preserve">Leek, fresh </t>
  </si>
  <si>
    <t xml:space="preserve">Lemons, fresh </t>
  </si>
  <si>
    <t xml:space="preserve">Marrows, green, fresh </t>
  </si>
  <si>
    <t xml:space="preserve">Onions, fresh </t>
  </si>
  <si>
    <t xml:space="preserve">Oranges </t>
  </si>
  <si>
    <t xml:space="preserve">Parsley, fresh </t>
  </si>
  <si>
    <t xml:space="preserve">Potatoes, regular, fresh </t>
  </si>
  <si>
    <t xml:space="preserve">Pumpkin, fresh </t>
  </si>
  <si>
    <t xml:space="preserve">Spring onions, fresh </t>
  </si>
  <si>
    <t xml:space="preserve">Table celery, fresh </t>
  </si>
  <si>
    <t xml:space="preserve">Tangerines (Mandarines) </t>
  </si>
  <si>
    <t xml:space="preserve">Tomatoes, half-ripe </t>
  </si>
  <si>
    <t xml:space="preserve">White cabbage, fresh </t>
  </si>
  <si>
    <t xml:space="preserve">Cooking oil </t>
  </si>
  <si>
    <t>Mayonnaise 500 gr / 17,6 oz</t>
  </si>
  <si>
    <t>jar</t>
  </si>
  <si>
    <t xml:space="preserve">Soya Sauce, Kikoman </t>
  </si>
  <si>
    <t>Tropical juice 1 Ltr / 35,3 oz</t>
  </si>
  <si>
    <t>Kefir , 1 ltr / 35,3 oz</t>
  </si>
  <si>
    <t>pack</t>
  </si>
  <si>
    <t>Total:</t>
  </si>
  <si>
    <t>400 gr x 5 pcs = 12.50 EUR</t>
  </si>
  <si>
    <t>1 vnt ( 5 ltr)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</si>
</sst>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4"/>
      <color theme="0"/>
      <name val="Calibri"/>
      <family val="2"/>
      <scheme val="minor"/>
    </font>
    <font>
      <sz val="11"/>
      <color theme="3"/>
      <name val="Calibri"/>
      <family val="2"/>
    </font>
    <font>
      <b/>
      <sz val="11"/>
      <color theme="3"/>
      <name val="Calibri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573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/>
      <diagonal/>
    </border>
    <border>
      <left style="thin">
        <color theme="4" tint="0.59996337778862885"/>
      </left>
      <right/>
      <top/>
      <bottom style="thin">
        <color theme="4" tint="0.59996337778862885"/>
      </bottom>
      <diagonal/>
    </border>
    <border>
      <left/>
      <right/>
      <top/>
      <bottom style="thin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59996337778862885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59996337778862885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59996337778862885"/>
      </right>
      <top/>
      <bottom style="thin">
        <color theme="4" tint="0.59996337778862885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6" fillId="3" borderId="6" xfId="1" applyFon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</xf>
    <xf numFmtId="2" fontId="2" fillId="0" borderId="0" xfId="1" applyNumberFormat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7" fillId="3" borderId="8" xfId="1" applyFont="1" applyFill="1" applyBorder="1" applyAlignment="1">
      <alignment horizontal="left" vertical="center" wrapText="1" indent="1"/>
    </xf>
    <xf numFmtId="0" fontId="2" fillId="3" borderId="6" xfId="1" applyFont="1" applyFill="1" applyBorder="1" applyAlignment="1" applyProtection="1">
      <alignment horizontal="left" vertical="center" wrapText="1" indent="1"/>
      <protection locked="0"/>
    </xf>
    <xf numFmtId="14" fontId="2" fillId="3" borderId="6" xfId="1" applyNumberFormat="1" applyFont="1" applyFill="1" applyBorder="1" applyAlignment="1" applyProtection="1">
      <alignment horizontal="left" vertical="center" wrapText="1" indent="1"/>
      <protection locked="0"/>
    </xf>
    <xf numFmtId="0" fontId="0" fillId="3" borderId="0" xfId="0" applyFill="1" applyAlignment="1" applyProtection="1">
      <alignment vertical="center"/>
      <protection locked="0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vertical="center" wrapText="1"/>
    </xf>
    <xf numFmtId="0" fontId="3" fillId="0" borderId="0" xfId="1" applyAlignment="1">
      <alignment vertical="center"/>
    </xf>
    <xf numFmtId="2" fontId="9" fillId="0" borderId="0" xfId="1" applyNumberFormat="1" applyFont="1" applyAlignment="1">
      <alignment vertical="center" wrapText="1"/>
    </xf>
    <xf numFmtId="0" fontId="10" fillId="0" borderId="10" xfId="1" applyFont="1" applyBorder="1" applyAlignment="1">
      <alignment horizontal="center" vertical="center" wrapText="1"/>
    </xf>
    <xf numFmtId="0" fontId="10" fillId="0" borderId="10" xfId="1" applyFont="1" applyBorder="1" applyAlignment="1">
      <alignment vertical="center" wrapText="1"/>
    </xf>
    <xf numFmtId="0" fontId="11" fillId="0" borderId="10" xfId="1" applyFont="1" applyBorder="1" applyAlignment="1">
      <alignment vertical="center"/>
    </xf>
    <xf numFmtId="2" fontId="10" fillId="0" borderId="10" xfId="1" applyNumberFormat="1" applyFont="1" applyBorder="1" applyAlignment="1">
      <alignment vertical="center" wrapText="1"/>
    </xf>
    <xf numFmtId="0" fontId="8" fillId="3" borderId="10" xfId="0" applyFont="1" applyFill="1" applyBorder="1" applyAlignment="1" applyProtection="1">
      <alignment vertical="center"/>
      <protection locked="0"/>
    </xf>
    <xf numFmtId="4" fontId="8" fillId="0" borderId="10" xfId="0" applyNumberFormat="1" applyFont="1" applyBorder="1" applyAlignment="1">
      <alignment vertical="center"/>
    </xf>
    <xf numFmtId="0" fontId="5" fillId="2" borderId="3" xfId="0" applyFont="1" applyFill="1" applyBorder="1" applyAlignment="1">
      <alignment horizontal="left" vertical="center" wrapText="1" indent="1"/>
    </xf>
    <xf numFmtId="0" fontId="5" fillId="2" borderId="4" xfId="0" applyFont="1" applyFill="1" applyBorder="1" applyAlignment="1">
      <alignment horizontal="left" vertical="center" wrapText="1" indent="1"/>
    </xf>
    <xf numFmtId="0" fontId="5" fillId="2" borderId="9" xfId="0" applyFont="1" applyFill="1" applyBorder="1" applyAlignment="1">
      <alignment horizontal="left" vertical="center" wrapText="1" indent="1"/>
    </xf>
    <xf numFmtId="0" fontId="7" fillId="3" borderId="7" xfId="1" applyFont="1" applyFill="1" applyBorder="1" applyAlignment="1">
      <alignment horizontal="left" vertical="center" wrapText="1" indent="1"/>
    </xf>
    <xf numFmtId="0" fontId="7" fillId="3" borderId="8" xfId="1" applyFont="1" applyFill="1" applyBorder="1" applyAlignment="1">
      <alignment horizontal="left" vertical="center" wrapText="1" indent="1"/>
    </xf>
  </cellXfs>
  <cellStyles count="2">
    <cellStyle name="Normal" xfId="0" builtinId="0"/>
    <cellStyle name="Standard_Tabelle1" xfId="1" xr:uid="{00000000-0005-0000-0000-000001000000}"/>
  </cellStyles>
  <dxfs count="17"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ill>
        <patternFill patternType="solid">
          <fgColor indexed="64"/>
          <bgColor rgb="FFFFFFCC"/>
        </patternFill>
      </fill>
      <alignment vertical="center" textRotation="0" indent="0" justifyLastLine="0" shrinkToFit="0" readingOrder="0"/>
      <protection locked="0" hidden="0"/>
    </dxf>
    <dxf>
      <numFmt numFmtId="4" formatCode="#,##0.00"/>
      <alignment vertical="center" textRotation="0" indent="0" justifyLastLine="0" shrinkToFit="0" readingOrder="0"/>
    </dxf>
    <dxf>
      <fill>
        <patternFill patternType="solid">
          <fgColor indexed="64"/>
          <bgColor rgb="FFFFFFCC"/>
        </patternFill>
      </fill>
      <alignment vertical="center" textRotation="0" indent="0" justifyLastLine="0" shrinkToFit="0" readingOrder="0"/>
      <protection locked="0" hidden="0"/>
    </dxf>
    <dxf>
      <font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font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sz val="11"/>
        <color indexed="8"/>
        <name val="Calibri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alignment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rgb="FF00357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59996337778862885"/>
        </left>
        <right style="thin">
          <color theme="4" tint="0.59996337778862885"/>
        </right>
        <top/>
        <bottom/>
      </border>
    </dxf>
  </dxfs>
  <tableStyles count="0" defaultTableStyle="TableStyleMedium2" defaultPivotStyle="PivotStyleLight16"/>
  <colors>
    <mruColors>
      <color rgb="FFFFFFCC"/>
      <color rgb="FFFFFFFF"/>
      <color rgb="FF0035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142876</xdr:colOff>
      <xdr:row>3</xdr:row>
      <xdr:rowOff>133350</xdr:rowOff>
    </xdr:from>
    <xdr:to>
      <xdr:col>0</xdr:col>
      <xdr:colOff>638175</xdr:colOff>
      <xdr:row>3</xdr:row>
      <xdr:rowOff>628649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6" y="133350"/>
          <a:ext cx="495299" cy="495299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elle4" displayName="Tabelle4" ref="A5:M47" totalsRowShown="0" headerRowDxfId="16" dataDxfId="15">
  <autoFilter ref="A5:M47" xr:uid="{00000000-0009-0000-0100-000004000000}"/>
  <tableColumns count="13">
    <tableColumn id="1" xr3:uid="{00000000-0010-0000-0000-000001000000}" name="Pos" dataDxfId="14" dataCellStyle="Standard_Tabelle1"/>
    <tableColumn id="2" xr3:uid="{00000000-0010-0000-0000-000002000000}" name="Item No." dataDxfId="13" dataCellStyle="Standard_Tabelle1"/>
    <tableColumn id="3" xr3:uid="{00000000-0010-0000-0000-000003000000}" name="Item Description" dataDxfId="12" dataCellStyle="Standard_Tabelle1"/>
    <tableColumn id="4" xr3:uid="{00000000-0010-0000-0000-000004000000}" name="Order _x000a_Qty" dataDxfId="11" dataCellStyle="Standard_Tabelle1"/>
    <tableColumn id="5" xr3:uid="{00000000-0010-0000-0000-000005000000}" name="Unit" dataDxfId="10" dataCellStyle="Standard_Tabelle1"/>
    <tableColumn id="8" xr3:uid="{00000000-0010-0000-0000-000008000000}" name="Price" dataDxfId="9" dataCellStyle="Standard_Tabelle1"/>
    <tableColumn id="9" xr3:uid="{00000000-0010-0000-0000-000009000000}" name="Order _x000a_Amount" dataDxfId="8" dataCellStyle="Standard_Tabelle1"/>
    <tableColumn id="10" xr3:uid="{00000000-0010-0000-0000-00000A000000}" name="Cur." dataDxfId="7" dataCellStyle="Standard_Tabelle1"/>
    <tableColumn id="19" xr3:uid="{00000000-0010-0000-0000-000013000000}" name="Changed by Kloska" dataDxfId="6" dataCellStyle="Standard_Tabelle1"/>
    <tableColumn id="13" xr3:uid="{00000000-0010-0000-0000-00000D000000}" name="Supplier Item-No." dataDxfId="5" dataCellStyle="Standard_Tabelle1"/>
    <tableColumn id="6" xr3:uid="{00000000-0010-0000-0000-000006000000}" name="Invoice_x000a_Qty" dataDxfId="4"/>
    <tableColumn id="7" xr3:uid="{00000000-0010-0000-0000-000007000000}" name="Invoice _x000a_Amount" dataDxfId="3">
      <calculatedColumnFormula>Tabelle4[Price]*Tabelle4[Invoice
Qty]</calculatedColumnFormula>
    </tableColumn>
    <tableColumn id="11" xr3:uid="{00000000-0010-0000-0000-00000B000000}" name="Invoice_x000a_Remark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workbookViewId="0">
      <selection activeCell="K18" sqref="K18"/>
    </sheetView>
  </sheetViews>
  <sheetFormatPr defaultColWidth="11.5546875" defaultRowHeight="14.4" x14ac:dyDescent="0.3"/>
  <cols>
    <col min="1" max="1" width="11.6640625" style="2" customWidth="1"/>
    <col min="2" max="2" width="13.33203125" bestFit="1" customWidth="1"/>
    <col min="3" max="3" width="29.44140625" bestFit="1" customWidth="1"/>
    <col min="4" max="4" width="10.6640625" customWidth="1"/>
    <col min="5" max="5" width="9.44140625" bestFit="1" customWidth="1"/>
    <col min="6" max="6" width="10" style="7" bestFit="1" customWidth="1"/>
    <col min="7" max="7" width="12.6640625" bestFit="1" customWidth="1"/>
    <col min="8" max="8" width="9.109375" style="2" bestFit="1" customWidth="1"/>
    <col min="9" max="9" width="15.88671875" style="9" bestFit="1" customWidth="1"/>
    <col min="10" max="10" width="13.5546875" style="2" bestFit="1" customWidth="1"/>
    <col min="11" max="11" width="12" bestFit="1" customWidth="1"/>
    <col min="12" max="12" width="12.6640625" bestFit="1" customWidth="1"/>
    <col min="13" max="13" width="80.6640625" customWidth="1"/>
  </cols>
  <sheetData>
    <row r="1" spans="1:13" ht="20.100000000000001" customHeight="1" x14ac:dyDescent="0.3">
      <c r="A1" s="9"/>
      <c r="F1"/>
      <c r="I1" s="2"/>
      <c r="K1" s="34" t="s">
        <v>9</v>
      </c>
      <c r="L1" s="35"/>
      <c r="M1" s="18"/>
    </row>
    <row r="2" spans="1:13" ht="20.100000000000001" customHeight="1" x14ac:dyDescent="0.3">
      <c r="F2"/>
      <c r="I2" s="2"/>
      <c r="K2" s="34" t="s">
        <v>10</v>
      </c>
      <c r="L2" s="35"/>
      <c r="M2" s="19"/>
    </row>
    <row r="3" spans="1:13" ht="20.100000000000001" customHeight="1" x14ac:dyDescent="0.3">
      <c r="F3"/>
      <c r="I3" s="2"/>
      <c r="K3" s="34" t="s">
        <v>11</v>
      </c>
      <c r="L3" s="35"/>
      <c r="M3" s="19"/>
    </row>
    <row r="4" spans="1:13" ht="57" customHeight="1" x14ac:dyDescent="0.3">
      <c r="A4" s="3"/>
      <c r="B4" s="31" t="s">
        <v>18</v>
      </c>
      <c r="C4" s="32"/>
      <c r="D4" s="32"/>
      <c r="E4" s="32"/>
      <c r="F4" s="32"/>
      <c r="G4" s="32"/>
      <c r="H4" s="32"/>
      <c r="I4" s="32"/>
      <c r="J4" s="33"/>
      <c r="K4" s="34" t="s">
        <v>17</v>
      </c>
      <c r="L4" s="35"/>
      <c r="M4" s="17" t="s">
        <v>19</v>
      </c>
    </row>
    <row r="5" spans="1:13" s="1" customFormat="1" ht="45" customHeight="1" x14ac:dyDescent="0.3">
      <c r="A5" s="5" t="s">
        <v>3</v>
      </c>
      <c r="B5" s="3" t="s">
        <v>6</v>
      </c>
      <c r="C5" s="3" t="s">
        <v>1</v>
      </c>
      <c r="D5" s="6" t="s">
        <v>12</v>
      </c>
      <c r="E5" s="6" t="s">
        <v>0</v>
      </c>
      <c r="F5" s="8" t="s">
        <v>4</v>
      </c>
      <c r="G5" s="4" t="s">
        <v>13</v>
      </c>
      <c r="H5" s="8" t="s">
        <v>5</v>
      </c>
      <c r="I5" s="4" t="s">
        <v>7</v>
      </c>
      <c r="J5" s="4" t="s">
        <v>8</v>
      </c>
      <c r="K5" s="10" t="s">
        <v>14</v>
      </c>
      <c r="L5" s="10" t="s">
        <v>15</v>
      </c>
      <c r="M5" s="10" t="s">
        <v>16</v>
      </c>
    </row>
    <row r="6" spans="1:13" s="1" customFormat="1" x14ac:dyDescent="0.3">
      <c r="A6" s="12">
        <v>10</v>
      </c>
      <c r="B6" s="13">
        <v>94</v>
      </c>
      <c r="C6" s="13" t="s">
        <v>20</v>
      </c>
      <c r="D6" s="13">
        <v>10</v>
      </c>
      <c r="E6" s="14" t="s">
        <v>2</v>
      </c>
      <c r="F6" s="15">
        <v>3.1</v>
      </c>
      <c r="G6" s="15">
        <v>31</v>
      </c>
      <c r="H6" s="12" t="s">
        <v>21</v>
      </c>
      <c r="I6" s="16"/>
      <c r="J6" s="13"/>
      <c r="K6" s="20">
        <v>10.199999999999999</v>
      </c>
      <c r="L6" s="11">
        <f>Tabelle4[Price]*Tabelle4[Invoice
Qty]</f>
        <v>31.619999999999997</v>
      </c>
      <c r="M6" s="20"/>
    </row>
    <row r="7" spans="1:13" x14ac:dyDescent="0.3">
      <c r="A7" s="21">
        <v>20</v>
      </c>
      <c r="B7" s="22">
        <v>46</v>
      </c>
      <c r="C7" s="22" t="s">
        <v>22</v>
      </c>
      <c r="D7" s="23">
        <v>5</v>
      </c>
      <c r="E7" s="22" t="s">
        <v>2</v>
      </c>
      <c r="F7" s="24">
        <v>6.95</v>
      </c>
      <c r="G7" s="24">
        <v>34.75</v>
      </c>
      <c r="H7" s="21" t="s">
        <v>21</v>
      </c>
      <c r="I7" s="21"/>
      <c r="J7" s="22"/>
      <c r="K7" s="20">
        <v>7.5979999999999999</v>
      </c>
      <c r="L7" s="11">
        <f>Tabelle4[Price]*Tabelle4[Invoice
Qty]</f>
        <v>52.806100000000001</v>
      </c>
      <c r="M7" s="20"/>
    </row>
    <row r="8" spans="1:13" x14ac:dyDescent="0.3">
      <c r="A8" s="21">
        <v>30</v>
      </c>
      <c r="B8" s="22">
        <v>70</v>
      </c>
      <c r="C8" s="22" t="s">
        <v>23</v>
      </c>
      <c r="D8" s="23">
        <v>10</v>
      </c>
      <c r="E8" s="22" t="s">
        <v>2</v>
      </c>
      <c r="F8" s="24">
        <v>6.8</v>
      </c>
      <c r="G8" s="24">
        <v>68</v>
      </c>
      <c r="H8" s="21" t="s">
        <v>21</v>
      </c>
      <c r="I8" s="21"/>
      <c r="J8" s="22"/>
      <c r="K8" s="20">
        <v>9.9779999999999998</v>
      </c>
      <c r="L8" s="11">
        <f>Tabelle4[Price]*Tabelle4[Invoice
Qty]</f>
        <v>67.850399999999993</v>
      </c>
      <c r="M8" s="20"/>
    </row>
    <row r="9" spans="1:13" x14ac:dyDescent="0.3">
      <c r="A9" s="21">
        <v>40</v>
      </c>
      <c r="B9" s="22">
        <v>257</v>
      </c>
      <c r="C9" s="22" t="s">
        <v>24</v>
      </c>
      <c r="D9" s="23">
        <v>3</v>
      </c>
      <c r="E9" s="22" t="s">
        <v>2</v>
      </c>
      <c r="F9" s="24">
        <v>3.6</v>
      </c>
      <c r="G9" s="24">
        <v>10.8</v>
      </c>
      <c r="H9" s="21" t="s">
        <v>21</v>
      </c>
      <c r="I9" s="21"/>
      <c r="J9" s="22"/>
      <c r="K9" s="20">
        <v>3</v>
      </c>
      <c r="L9" s="11">
        <f>Tabelle4[Price]*Tabelle4[Invoice
Qty]</f>
        <v>10.8</v>
      </c>
      <c r="M9" s="20"/>
    </row>
    <row r="10" spans="1:13" x14ac:dyDescent="0.3">
      <c r="A10" s="21">
        <v>50</v>
      </c>
      <c r="B10" s="22">
        <v>291</v>
      </c>
      <c r="C10" s="22" t="s">
        <v>25</v>
      </c>
      <c r="D10" s="23">
        <v>2</v>
      </c>
      <c r="E10" s="22" t="s">
        <v>2</v>
      </c>
      <c r="F10" s="24">
        <v>4.4000000000000004</v>
      </c>
      <c r="G10" s="24">
        <v>8.8000000000000007</v>
      </c>
      <c r="H10" s="21" t="s">
        <v>21</v>
      </c>
      <c r="I10" s="21"/>
      <c r="J10" s="22"/>
      <c r="K10" s="20">
        <v>3.0659999999999998</v>
      </c>
      <c r="L10" s="11">
        <f>Tabelle4[Price]*Tabelle4[Invoice
Qty]</f>
        <v>13.490400000000001</v>
      </c>
      <c r="M10" s="20"/>
    </row>
    <row r="11" spans="1:13" x14ac:dyDescent="0.3">
      <c r="A11" s="21">
        <v>60</v>
      </c>
      <c r="B11" s="22">
        <v>300</v>
      </c>
      <c r="C11" s="22" t="s">
        <v>26</v>
      </c>
      <c r="D11" s="23">
        <v>2</v>
      </c>
      <c r="E11" s="22" t="s">
        <v>2</v>
      </c>
      <c r="F11" s="24">
        <v>6.25</v>
      </c>
      <c r="G11" s="24">
        <v>12.5</v>
      </c>
      <c r="H11" s="21" t="s">
        <v>21</v>
      </c>
      <c r="I11" s="21"/>
      <c r="J11" s="22"/>
      <c r="K11" s="20">
        <v>2</v>
      </c>
      <c r="L11" s="11">
        <f>Tabelle4[Price]*Tabelle4[Invoice
Qty]</f>
        <v>12.5</v>
      </c>
      <c r="M11" s="20" t="s">
        <v>68</v>
      </c>
    </row>
    <row r="12" spans="1:13" x14ac:dyDescent="0.3">
      <c r="A12" s="21">
        <v>70</v>
      </c>
      <c r="B12" s="22">
        <v>311</v>
      </c>
      <c r="C12" s="22" t="s">
        <v>27</v>
      </c>
      <c r="D12" s="23">
        <v>2</v>
      </c>
      <c r="E12" s="22" t="s">
        <v>2</v>
      </c>
      <c r="F12" s="24">
        <v>6.25</v>
      </c>
      <c r="G12" s="24">
        <v>12.5</v>
      </c>
      <c r="H12" s="21" t="s">
        <v>21</v>
      </c>
      <c r="I12" s="21"/>
      <c r="J12" s="22"/>
      <c r="K12" s="20">
        <v>2</v>
      </c>
      <c r="L12" s="11">
        <f>Tabelle4[Price]*Tabelle4[Invoice
Qty]</f>
        <v>12.5</v>
      </c>
      <c r="M12" s="20" t="s">
        <v>68</v>
      </c>
    </row>
    <row r="13" spans="1:13" x14ac:dyDescent="0.3">
      <c r="A13" s="21">
        <v>80</v>
      </c>
      <c r="B13" s="22">
        <v>391</v>
      </c>
      <c r="C13" s="22" t="s">
        <v>28</v>
      </c>
      <c r="D13" s="23">
        <v>360</v>
      </c>
      <c r="E13" s="22" t="s">
        <v>29</v>
      </c>
      <c r="F13" s="24">
        <v>0.28000000000000003</v>
      </c>
      <c r="G13" s="24">
        <v>100.80000000000001</v>
      </c>
      <c r="H13" s="21" t="s">
        <v>21</v>
      </c>
      <c r="I13" s="21"/>
      <c r="J13" s="22"/>
      <c r="K13" s="20">
        <v>360</v>
      </c>
      <c r="L13" s="11">
        <f>Tabelle4[Price]*Tabelle4[Invoice
Qty]</f>
        <v>100.80000000000001</v>
      </c>
      <c r="M13" s="20"/>
    </row>
    <row r="14" spans="1:13" x14ac:dyDescent="0.3">
      <c r="A14" s="21">
        <v>90</v>
      </c>
      <c r="B14" s="22">
        <v>399</v>
      </c>
      <c r="C14" s="22" t="s">
        <v>30</v>
      </c>
      <c r="D14" s="23">
        <v>24</v>
      </c>
      <c r="E14" s="22" t="s">
        <v>31</v>
      </c>
      <c r="F14" s="24">
        <v>1.1499999999999999</v>
      </c>
      <c r="G14" s="24">
        <v>27.599999999999998</v>
      </c>
      <c r="H14" s="21" t="s">
        <v>21</v>
      </c>
      <c r="I14" s="21"/>
      <c r="J14" s="22"/>
      <c r="K14" s="20">
        <v>24</v>
      </c>
      <c r="L14" s="11">
        <f>Tabelle4[Price]*Tabelle4[Invoice
Qty]</f>
        <v>27.599999999999998</v>
      </c>
      <c r="M14" s="20"/>
    </row>
    <row r="15" spans="1:13" x14ac:dyDescent="0.3">
      <c r="A15" s="21">
        <v>100</v>
      </c>
      <c r="B15" s="22">
        <v>771</v>
      </c>
      <c r="C15" s="22" t="s">
        <v>32</v>
      </c>
      <c r="D15" s="23">
        <v>10</v>
      </c>
      <c r="E15" s="22" t="s">
        <v>2</v>
      </c>
      <c r="F15" s="24">
        <v>1.66</v>
      </c>
      <c r="G15" s="24">
        <v>16.599999999999998</v>
      </c>
      <c r="H15" s="21" t="s">
        <v>21</v>
      </c>
      <c r="I15" s="21"/>
      <c r="J15" s="22"/>
      <c r="K15" s="20">
        <v>10</v>
      </c>
      <c r="L15" s="11">
        <f>Tabelle4[Price]*Tabelle4[Invoice
Qty]</f>
        <v>16.599999999999998</v>
      </c>
      <c r="M15" s="20"/>
    </row>
    <row r="16" spans="1:13" x14ac:dyDescent="0.3">
      <c r="A16" s="21">
        <v>110</v>
      </c>
      <c r="B16" s="22">
        <v>750</v>
      </c>
      <c r="C16" s="22" t="s">
        <v>33</v>
      </c>
      <c r="D16" s="23">
        <v>10</v>
      </c>
      <c r="E16" s="22" t="s">
        <v>2</v>
      </c>
      <c r="F16" s="24">
        <v>2.25</v>
      </c>
      <c r="G16" s="24">
        <v>22.5</v>
      </c>
      <c r="H16" s="21" t="s">
        <v>21</v>
      </c>
      <c r="I16" s="21"/>
      <c r="J16" s="22"/>
      <c r="K16" s="20">
        <v>10</v>
      </c>
      <c r="L16" s="11">
        <f>Tabelle4[Price]*Tabelle4[Invoice
Qty]</f>
        <v>22.5</v>
      </c>
      <c r="M16" s="20"/>
    </row>
    <row r="17" spans="1:13" x14ac:dyDescent="0.3">
      <c r="A17" s="21">
        <v>120</v>
      </c>
      <c r="B17" s="22">
        <v>531</v>
      </c>
      <c r="C17" s="22" t="s">
        <v>34</v>
      </c>
      <c r="D17" s="23">
        <v>2</v>
      </c>
      <c r="E17" s="22" t="s">
        <v>2</v>
      </c>
      <c r="F17" s="24">
        <v>6.85</v>
      </c>
      <c r="G17" s="24">
        <v>13.7</v>
      </c>
      <c r="H17" s="21" t="s">
        <v>21</v>
      </c>
      <c r="I17" s="21"/>
      <c r="J17" s="22"/>
      <c r="K17" s="20">
        <v>2</v>
      </c>
      <c r="L17" s="11">
        <f>Tabelle4[Price]*Tabelle4[Invoice
Qty]</f>
        <v>13.7</v>
      </c>
      <c r="M17" s="20"/>
    </row>
    <row r="18" spans="1:13" x14ac:dyDescent="0.3">
      <c r="A18" s="21">
        <v>130</v>
      </c>
      <c r="B18" s="22">
        <v>532</v>
      </c>
      <c r="C18" s="22" t="s">
        <v>35</v>
      </c>
      <c r="D18" s="23">
        <v>2</v>
      </c>
      <c r="E18" s="22" t="s">
        <v>2</v>
      </c>
      <c r="F18" s="24">
        <v>7.7</v>
      </c>
      <c r="G18" s="24">
        <v>15.4</v>
      </c>
      <c r="H18" s="21" t="s">
        <v>21</v>
      </c>
      <c r="I18" s="21"/>
      <c r="J18" s="22"/>
      <c r="K18" s="20">
        <v>2</v>
      </c>
      <c r="L18" s="11">
        <f>Tabelle4[Price]*Tabelle4[Invoice
Qty]</f>
        <v>15.4</v>
      </c>
      <c r="M18" s="20"/>
    </row>
    <row r="19" spans="1:13" x14ac:dyDescent="0.3">
      <c r="A19" s="21">
        <v>140</v>
      </c>
      <c r="B19" s="22">
        <v>494</v>
      </c>
      <c r="C19" s="22" t="s">
        <v>36</v>
      </c>
      <c r="D19" s="23">
        <v>3</v>
      </c>
      <c r="E19" s="22" t="s">
        <v>2</v>
      </c>
      <c r="F19" s="24">
        <v>4.95</v>
      </c>
      <c r="G19" s="24">
        <v>14.850000000000001</v>
      </c>
      <c r="H19" s="21" t="s">
        <v>21</v>
      </c>
      <c r="I19" s="21"/>
      <c r="J19" s="22"/>
      <c r="K19" s="20">
        <v>3</v>
      </c>
      <c r="L19" s="11">
        <f>Tabelle4[Price]*Tabelle4[Invoice
Qty]</f>
        <v>14.850000000000001</v>
      </c>
      <c r="M19" s="20"/>
    </row>
    <row r="20" spans="1:13" x14ac:dyDescent="0.3">
      <c r="A20" s="21">
        <v>150</v>
      </c>
      <c r="B20" s="22">
        <v>513</v>
      </c>
      <c r="C20" s="22" t="s">
        <v>37</v>
      </c>
      <c r="D20" s="23">
        <v>6</v>
      </c>
      <c r="E20" s="22" t="s">
        <v>2</v>
      </c>
      <c r="F20" s="24">
        <v>0.78</v>
      </c>
      <c r="G20" s="24">
        <v>4.68</v>
      </c>
      <c r="H20" s="21" t="s">
        <v>21</v>
      </c>
      <c r="I20" s="21"/>
      <c r="J20" s="22"/>
      <c r="K20" s="20">
        <v>6</v>
      </c>
      <c r="L20" s="11">
        <f>Tabelle4[Price]*Tabelle4[Invoice
Qty]</f>
        <v>4.68</v>
      </c>
      <c r="M20" s="20"/>
    </row>
    <row r="21" spans="1:13" x14ac:dyDescent="0.3">
      <c r="A21" s="21">
        <v>160</v>
      </c>
      <c r="B21" s="22">
        <v>492</v>
      </c>
      <c r="C21" s="22" t="s">
        <v>38</v>
      </c>
      <c r="D21" s="23">
        <v>3</v>
      </c>
      <c r="E21" s="22" t="s">
        <v>2</v>
      </c>
      <c r="F21" s="24">
        <v>3.75</v>
      </c>
      <c r="G21" s="24">
        <v>11.25</v>
      </c>
      <c r="H21" s="21" t="s">
        <v>21</v>
      </c>
      <c r="I21" s="21"/>
      <c r="J21" s="22"/>
      <c r="K21" s="20">
        <v>3</v>
      </c>
      <c r="L21" s="11">
        <f>Tabelle4[Price]*Tabelle4[Invoice
Qty]</f>
        <v>11.25</v>
      </c>
      <c r="M21" s="20"/>
    </row>
    <row r="22" spans="1:13" x14ac:dyDescent="0.3">
      <c r="A22" s="21">
        <v>170</v>
      </c>
      <c r="B22" s="22">
        <v>496</v>
      </c>
      <c r="C22" s="22" t="s">
        <v>39</v>
      </c>
      <c r="D22" s="23">
        <v>0</v>
      </c>
      <c r="E22" s="22" t="s">
        <v>2</v>
      </c>
      <c r="F22" s="24">
        <v>7.2</v>
      </c>
      <c r="G22" s="24">
        <v>0</v>
      </c>
      <c r="H22" s="21" t="s">
        <v>21</v>
      </c>
      <c r="I22" s="21" t="s">
        <v>40</v>
      </c>
      <c r="J22" s="22"/>
      <c r="K22" s="20">
        <v>0</v>
      </c>
      <c r="L22" s="11">
        <f>Tabelle4[Price]*Tabelle4[Invoice
Qty]</f>
        <v>0</v>
      </c>
      <c r="M22" s="20"/>
    </row>
    <row r="23" spans="1:13" x14ac:dyDescent="0.3">
      <c r="A23" s="21">
        <v>180</v>
      </c>
      <c r="B23" s="22">
        <v>546</v>
      </c>
      <c r="C23" s="22" t="s">
        <v>41</v>
      </c>
      <c r="D23" s="23">
        <v>5</v>
      </c>
      <c r="E23" s="22" t="s">
        <v>2</v>
      </c>
      <c r="F23" s="24">
        <v>3.65</v>
      </c>
      <c r="G23" s="24">
        <v>18.25</v>
      </c>
      <c r="H23" s="21" t="s">
        <v>21</v>
      </c>
      <c r="I23" s="21"/>
      <c r="J23" s="22"/>
      <c r="K23" s="20">
        <v>5</v>
      </c>
      <c r="L23" s="11">
        <f>Tabelle4[Price]*Tabelle4[Invoice
Qty]</f>
        <v>18.25</v>
      </c>
      <c r="M23" s="20"/>
    </row>
    <row r="24" spans="1:13" x14ac:dyDescent="0.3">
      <c r="A24" s="21">
        <v>190</v>
      </c>
      <c r="B24" s="22">
        <v>746</v>
      </c>
      <c r="C24" s="22" t="s">
        <v>42</v>
      </c>
      <c r="D24" s="23">
        <v>4</v>
      </c>
      <c r="E24" s="22" t="s">
        <v>2</v>
      </c>
      <c r="F24" s="24">
        <v>6.94</v>
      </c>
      <c r="G24" s="24">
        <v>27.76</v>
      </c>
      <c r="H24" s="21" t="s">
        <v>21</v>
      </c>
      <c r="I24" s="21"/>
      <c r="J24" s="22"/>
      <c r="K24" s="20">
        <v>4</v>
      </c>
      <c r="L24" s="11">
        <f>Tabelle4[Price]*Tabelle4[Invoice
Qty]</f>
        <v>27.76</v>
      </c>
      <c r="M24" s="20"/>
    </row>
    <row r="25" spans="1:13" x14ac:dyDescent="0.3">
      <c r="A25" s="21">
        <v>200</v>
      </c>
      <c r="B25" s="22">
        <v>1374</v>
      </c>
      <c r="C25" s="22" t="s">
        <v>43</v>
      </c>
      <c r="D25" s="23">
        <v>1</v>
      </c>
      <c r="E25" s="22" t="s">
        <v>2</v>
      </c>
      <c r="F25" s="24">
        <v>5.15</v>
      </c>
      <c r="G25" s="24">
        <v>5.15</v>
      </c>
      <c r="H25" s="21" t="s">
        <v>21</v>
      </c>
      <c r="I25" s="21" t="s">
        <v>40</v>
      </c>
      <c r="J25" s="22"/>
      <c r="K25" s="20">
        <v>1</v>
      </c>
      <c r="L25" s="11">
        <f>Tabelle4[Price]*Tabelle4[Invoice
Qty]</f>
        <v>5.15</v>
      </c>
      <c r="M25" s="20"/>
    </row>
    <row r="26" spans="1:13" x14ac:dyDescent="0.3">
      <c r="A26" s="21">
        <v>210</v>
      </c>
      <c r="B26" s="22">
        <v>511</v>
      </c>
      <c r="C26" s="22" t="s">
        <v>44</v>
      </c>
      <c r="D26" s="23">
        <v>1</v>
      </c>
      <c r="E26" s="22" t="s">
        <v>2</v>
      </c>
      <c r="F26" s="24">
        <v>5.9</v>
      </c>
      <c r="G26" s="24">
        <v>5.9</v>
      </c>
      <c r="H26" s="21" t="s">
        <v>21</v>
      </c>
      <c r="I26" s="21"/>
      <c r="J26" s="22"/>
      <c r="K26" s="20">
        <v>1</v>
      </c>
      <c r="L26" s="11">
        <f>Tabelle4[Price]*Tabelle4[Invoice
Qty]</f>
        <v>5.9</v>
      </c>
      <c r="M26" s="20"/>
    </row>
    <row r="27" spans="1:13" x14ac:dyDescent="0.3">
      <c r="A27" s="21">
        <v>220</v>
      </c>
      <c r="B27" s="22">
        <v>503</v>
      </c>
      <c r="C27" s="22" t="s">
        <v>45</v>
      </c>
      <c r="D27" s="23">
        <v>4</v>
      </c>
      <c r="E27" s="22" t="s">
        <v>2</v>
      </c>
      <c r="F27" s="24">
        <v>5.3</v>
      </c>
      <c r="G27" s="24">
        <v>21.2</v>
      </c>
      <c r="H27" s="21" t="s">
        <v>21</v>
      </c>
      <c r="I27" s="21"/>
      <c r="J27" s="22"/>
      <c r="K27" s="20">
        <v>4</v>
      </c>
      <c r="L27" s="11">
        <f>Tabelle4[Price]*Tabelle4[Invoice
Qty]</f>
        <v>21.2</v>
      </c>
      <c r="M27" s="20"/>
    </row>
    <row r="28" spans="1:13" x14ac:dyDescent="0.3">
      <c r="A28" s="21">
        <v>230</v>
      </c>
      <c r="B28" s="22">
        <v>761</v>
      </c>
      <c r="C28" s="22" t="s">
        <v>46</v>
      </c>
      <c r="D28" s="23">
        <v>2</v>
      </c>
      <c r="E28" s="22" t="s">
        <v>2</v>
      </c>
      <c r="F28" s="24">
        <v>2.2999999999999998</v>
      </c>
      <c r="G28" s="24">
        <v>4.5999999999999996</v>
      </c>
      <c r="H28" s="21" t="s">
        <v>21</v>
      </c>
      <c r="I28" s="21"/>
      <c r="J28" s="22"/>
      <c r="K28" s="20">
        <v>2</v>
      </c>
      <c r="L28" s="11">
        <f>Tabelle4[Price]*Tabelle4[Invoice
Qty]</f>
        <v>4.5999999999999996</v>
      </c>
      <c r="M28" s="20"/>
    </row>
    <row r="29" spans="1:13" x14ac:dyDescent="0.3">
      <c r="A29" s="21">
        <v>240</v>
      </c>
      <c r="B29" s="22">
        <v>537</v>
      </c>
      <c r="C29" s="22" t="s">
        <v>47</v>
      </c>
      <c r="D29" s="23">
        <v>1</v>
      </c>
      <c r="E29" s="22" t="s">
        <v>2</v>
      </c>
      <c r="F29" s="24">
        <v>2.2000000000000002</v>
      </c>
      <c r="G29" s="24">
        <v>2.2000000000000002</v>
      </c>
      <c r="H29" s="21" t="s">
        <v>21</v>
      </c>
      <c r="I29" s="21"/>
      <c r="J29" s="22"/>
      <c r="K29" s="20">
        <v>1</v>
      </c>
      <c r="L29" s="11">
        <f>Tabelle4[Price]*Tabelle4[Invoice
Qty]</f>
        <v>2.2000000000000002</v>
      </c>
      <c r="M29" s="20"/>
    </row>
    <row r="30" spans="1:13" x14ac:dyDescent="0.3">
      <c r="A30" s="21">
        <v>250</v>
      </c>
      <c r="B30" s="22">
        <v>561</v>
      </c>
      <c r="C30" s="22" t="s">
        <v>48</v>
      </c>
      <c r="D30" s="23">
        <v>1</v>
      </c>
      <c r="E30" s="22" t="s">
        <v>2</v>
      </c>
      <c r="F30" s="24">
        <v>2.5499999999999998</v>
      </c>
      <c r="G30" s="24">
        <v>2.5499999999999998</v>
      </c>
      <c r="H30" s="21" t="s">
        <v>21</v>
      </c>
      <c r="I30" s="21"/>
      <c r="J30" s="22"/>
      <c r="K30" s="20">
        <v>1</v>
      </c>
      <c r="L30" s="11">
        <f>Tabelle4[Price]*Tabelle4[Invoice
Qty]</f>
        <v>2.5499999999999998</v>
      </c>
      <c r="M30" s="20"/>
    </row>
    <row r="31" spans="1:13" x14ac:dyDescent="0.3">
      <c r="A31" s="21">
        <v>260</v>
      </c>
      <c r="B31" s="22">
        <v>563</v>
      </c>
      <c r="C31" s="22" t="s">
        <v>49</v>
      </c>
      <c r="D31" s="23">
        <v>3</v>
      </c>
      <c r="E31" s="22" t="s">
        <v>2</v>
      </c>
      <c r="F31" s="24">
        <v>5.2</v>
      </c>
      <c r="G31" s="24">
        <v>15.600000000000001</v>
      </c>
      <c r="H31" s="21" t="s">
        <v>21</v>
      </c>
      <c r="I31" s="21"/>
      <c r="J31" s="22"/>
      <c r="K31" s="20">
        <v>3</v>
      </c>
      <c r="L31" s="11">
        <f>Tabelle4[Price]*Tabelle4[Invoice
Qty]</f>
        <v>15.600000000000001</v>
      </c>
      <c r="M31" s="20"/>
    </row>
    <row r="32" spans="1:13" x14ac:dyDescent="0.3">
      <c r="A32" s="21">
        <v>270</v>
      </c>
      <c r="B32" s="22">
        <v>566</v>
      </c>
      <c r="C32" s="22" t="s">
        <v>50</v>
      </c>
      <c r="D32" s="23">
        <v>15</v>
      </c>
      <c r="E32" s="22" t="s">
        <v>2</v>
      </c>
      <c r="F32" s="24">
        <v>0.78</v>
      </c>
      <c r="G32" s="24">
        <v>11.700000000000001</v>
      </c>
      <c r="H32" s="21" t="s">
        <v>21</v>
      </c>
      <c r="I32" s="21"/>
      <c r="J32" s="22"/>
      <c r="K32" s="20">
        <v>15</v>
      </c>
      <c r="L32" s="11">
        <f>Tabelle4[Price]*Tabelle4[Invoice
Qty]</f>
        <v>11.700000000000001</v>
      </c>
      <c r="M32" s="20"/>
    </row>
    <row r="33" spans="1:13" x14ac:dyDescent="0.3">
      <c r="A33" s="21">
        <v>280</v>
      </c>
      <c r="B33" s="22">
        <v>743</v>
      </c>
      <c r="C33" s="22" t="s">
        <v>51</v>
      </c>
      <c r="D33" s="23">
        <v>5</v>
      </c>
      <c r="E33" s="22" t="s">
        <v>2</v>
      </c>
      <c r="F33" s="24">
        <v>1.89</v>
      </c>
      <c r="G33" s="24">
        <v>9.4499999999999993</v>
      </c>
      <c r="H33" s="21" t="s">
        <v>21</v>
      </c>
      <c r="I33" s="21"/>
      <c r="J33" s="22"/>
      <c r="K33" s="20">
        <v>5</v>
      </c>
      <c r="L33" s="11">
        <f>Tabelle4[Price]*Tabelle4[Invoice
Qty]</f>
        <v>9.4499999999999993</v>
      </c>
      <c r="M33" s="20"/>
    </row>
    <row r="34" spans="1:13" x14ac:dyDescent="0.3">
      <c r="A34" s="21">
        <v>290</v>
      </c>
      <c r="B34" s="22">
        <v>1337</v>
      </c>
      <c r="C34" s="22" t="s">
        <v>52</v>
      </c>
      <c r="D34" s="23">
        <v>1</v>
      </c>
      <c r="E34" s="22" t="s">
        <v>2</v>
      </c>
      <c r="F34" s="24">
        <v>7.2</v>
      </c>
      <c r="G34" s="24">
        <v>7.2</v>
      </c>
      <c r="H34" s="21" t="s">
        <v>21</v>
      </c>
      <c r="I34" s="21"/>
      <c r="J34" s="22"/>
      <c r="K34" s="20">
        <v>1</v>
      </c>
      <c r="L34" s="11">
        <f>Tabelle4[Price]*Tabelle4[Invoice
Qty]</f>
        <v>7.2</v>
      </c>
      <c r="M34" s="20"/>
    </row>
    <row r="35" spans="1:13" x14ac:dyDescent="0.3">
      <c r="A35" s="21">
        <v>300</v>
      </c>
      <c r="B35" s="22">
        <v>514</v>
      </c>
      <c r="C35" s="22" t="s">
        <v>53</v>
      </c>
      <c r="D35" s="23">
        <v>20</v>
      </c>
      <c r="E35" s="22" t="s">
        <v>2</v>
      </c>
      <c r="F35" s="24">
        <v>0.78</v>
      </c>
      <c r="G35" s="24">
        <v>15.600000000000001</v>
      </c>
      <c r="H35" s="21" t="s">
        <v>21</v>
      </c>
      <c r="I35" s="21"/>
      <c r="J35" s="22"/>
      <c r="K35" s="20">
        <v>20</v>
      </c>
      <c r="L35" s="11">
        <f>Tabelle4[Price]*Tabelle4[Invoice
Qty]</f>
        <v>15.600000000000001</v>
      </c>
      <c r="M35" s="20"/>
    </row>
    <row r="36" spans="1:13" x14ac:dyDescent="0.3">
      <c r="A36" s="21">
        <v>310</v>
      </c>
      <c r="B36" s="22">
        <v>762</v>
      </c>
      <c r="C36" s="22" t="s">
        <v>54</v>
      </c>
      <c r="D36" s="23">
        <v>2</v>
      </c>
      <c r="E36" s="22" t="s">
        <v>2</v>
      </c>
      <c r="F36" s="24">
        <v>2.15</v>
      </c>
      <c r="G36" s="24">
        <v>4.3</v>
      </c>
      <c r="H36" s="21" t="s">
        <v>21</v>
      </c>
      <c r="I36" s="21"/>
      <c r="J36" s="22"/>
      <c r="K36" s="20">
        <v>2</v>
      </c>
      <c r="L36" s="11">
        <f>Tabelle4[Price]*Tabelle4[Invoice
Qty]</f>
        <v>4.3</v>
      </c>
      <c r="M36" s="20"/>
    </row>
    <row r="37" spans="1:13" x14ac:dyDescent="0.3">
      <c r="A37" s="21">
        <v>320</v>
      </c>
      <c r="B37" s="22">
        <v>520</v>
      </c>
      <c r="C37" s="22" t="s">
        <v>55</v>
      </c>
      <c r="D37" s="23">
        <v>0</v>
      </c>
      <c r="E37" s="22" t="s">
        <v>2</v>
      </c>
      <c r="F37" s="24">
        <v>10.6</v>
      </c>
      <c r="G37" s="24">
        <v>0</v>
      </c>
      <c r="H37" s="21" t="s">
        <v>21</v>
      </c>
      <c r="I37" s="21" t="s">
        <v>40</v>
      </c>
      <c r="J37" s="22"/>
      <c r="K37" s="20">
        <v>0</v>
      </c>
      <c r="L37" s="11">
        <f>Tabelle4[Price]*Tabelle4[Invoice
Qty]</f>
        <v>0</v>
      </c>
      <c r="M37" s="20"/>
    </row>
    <row r="38" spans="1:13" x14ac:dyDescent="0.3">
      <c r="A38" s="21">
        <v>330</v>
      </c>
      <c r="B38" s="22">
        <v>490</v>
      </c>
      <c r="C38" s="22" t="s">
        <v>56</v>
      </c>
      <c r="D38" s="23">
        <v>1</v>
      </c>
      <c r="E38" s="22" t="s">
        <v>2</v>
      </c>
      <c r="F38" s="24">
        <v>3.3</v>
      </c>
      <c r="G38" s="24">
        <v>3.3</v>
      </c>
      <c r="H38" s="21" t="s">
        <v>21</v>
      </c>
      <c r="I38" s="21"/>
      <c r="J38" s="22"/>
      <c r="K38" s="20">
        <v>1</v>
      </c>
      <c r="L38" s="11">
        <f>Tabelle4[Price]*Tabelle4[Invoice
Qty]</f>
        <v>3.3</v>
      </c>
      <c r="M38" s="20"/>
    </row>
    <row r="39" spans="1:13" x14ac:dyDescent="0.3">
      <c r="A39" s="21">
        <v>340</v>
      </c>
      <c r="B39" s="22">
        <v>763</v>
      </c>
      <c r="C39" s="22" t="s">
        <v>57</v>
      </c>
      <c r="D39" s="23">
        <v>5</v>
      </c>
      <c r="E39" s="22" t="s">
        <v>2</v>
      </c>
      <c r="F39" s="24">
        <v>1.95</v>
      </c>
      <c r="G39" s="24">
        <v>9.75</v>
      </c>
      <c r="H39" s="21" t="s">
        <v>21</v>
      </c>
      <c r="I39" s="21"/>
      <c r="J39" s="22"/>
      <c r="K39" s="20">
        <v>5</v>
      </c>
      <c r="L39" s="11">
        <f>Tabelle4[Price]*Tabelle4[Invoice
Qty]</f>
        <v>9.75</v>
      </c>
      <c r="M39" s="20"/>
    </row>
    <row r="40" spans="1:13" x14ac:dyDescent="0.3">
      <c r="A40" s="21">
        <v>350</v>
      </c>
      <c r="B40" s="22">
        <v>558</v>
      </c>
      <c r="C40" s="22" t="s">
        <v>58</v>
      </c>
      <c r="D40" s="23">
        <v>6</v>
      </c>
      <c r="E40" s="22" t="s">
        <v>2</v>
      </c>
      <c r="F40" s="24">
        <v>5.85</v>
      </c>
      <c r="G40" s="24">
        <v>35.099999999999994</v>
      </c>
      <c r="H40" s="21" t="s">
        <v>21</v>
      </c>
      <c r="I40" s="21"/>
      <c r="J40" s="22"/>
      <c r="K40" s="20">
        <v>6</v>
      </c>
      <c r="L40" s="11">
        <f>Tabelle4[Price]*Tabelle4[Invoice
Qty]</f>
        <v>35.099999999999994</v>
      </c>
      <c r="M40" s="20"/>
    </row>
    <row r="41" spans="1:13" x14ac:dyDescent="0.3">
      <c r="A41" s="21">
        <v>360</v>
      </c>
      <c r="B41" s="22">
        <v>560</v>
      </c>
      <c r="C41" s="22" t="s">
        <v>59</v>
      </c>
      <c r="D41" s="23">
        <v>3</v>
      </c>
      <c r="E41" s="22" t="s">
        <v>2</v>
      </c>
      <c r="F41" s="24">
        <v>0.72</v>
      </c>
      <c r="G41" s="24">
        <v>2.16</v>
      </c>
      <c r="H41" s="21" t="s">
        <v>21</v>
      </c>
      <c r="I41" s="21"/>
      <c r="J41" s="22"/>
      <c r="K41" s="20">
        <v>3</v>
      </c>
      <c r="L41" s="11">
        <f>Tabelle4[Price]*Tabelle4[Invoice
Qty]</f>
        <v>2.16</v>
      </c>
      <c r="M41" s="20"/>
    </row>
    <row r="42" spans="1:13" x14ac:dyDescent="0.3">
      <c r="A42" s="21">
        <v>370</v>
      </c>
      <c r="B42" s="22">
        <v>1098</v>
      </c>
      <c r="C42" s="22" t="s">
        <v>60</v>
      </c>
      <c r="D42" s="23">
        <v>5</v>
      </c>
      <c r="E42" s="22" t="s">
        <v>31</v>
      </c>
      <c r="F42" s="24">
        <v>1.95</v>
      </c>
      <c r="G42" s="24">
        <v>9.75</v>
      </c>
      <c r="H42" s="21" t="s">
        <v>21</v>
      </c>
      <c r="I42" s="21"/>
      <c r="J42" s="22"/>
      <c r="K42" s="20">
        <v>5</v>
      </c>
      <c r="L42" s="11">
        <f>Tabelle4[Price]*Tabelle4[Invoice
Qty]</f>
        <v>9.75</v>
      </c>
      <c r="M42" s="20" t="s">
        <v>69</v>
      </c>
    </row>
    <row r="43" spans="1:13" x14ac:dyDescent="0.3">
      <c r="A43" s="21">
        <v>380</v>
      </c>
      <c r="B43" s="22">
        <v>1142</v>
      </c>
      <c r="C43" s="22" t="s">
        <v>61</v>
      </c>
      <c r="D43" s="23">
        <v>2</v>
      </c>
      <c r="E43" s="22" t="s">
        <v>62</v>
      </c>
      <c r="F43" s="24">
        <v>2.2000000000000002</v>
      </c>
      <c r="G43" s="24">
        <v>4.4000000000000004</v>
      </c>
      <c r="H43" s="21" t="s">
        <v>21</v>
      </c>
      <c r="I43" s="21"/>
      <c r="J43" s="22"/>
      <c r="K43" s="20">
        <v>2</v>
      </c>
      <c r="L43" s="11">
        <f>Tabelle4[Price]*Tabelle4[Invoice
Qty]</f>
        <v>4.4000000000000004</v>
      </c>
      <c r="M43" s="20"/>
    </row>
    <row r="44" spans="1:13" x14ac:dyDescent="0.3">
      <c r="A44" s="21">
        <v>390</v>
      </c>
      <c r="B44" s="22">
        <v>1213</v>
      </c>
      <c r="C44" s="22" t="s">
        <v>63</v>
      </c>
      <c r="D44" s="23">
        <v>1</v>
      </c>
      <c r="E44" s="22" t="s">
        <v>31</v>
      </c>
      <c r="F44" s="24">
        <v>7.2</v>
      </c>
      <c r="G44" s="24">
        <v>7.2</v>
      </c>
      <c r="H44" s="21" t="s">
        <v>21</v>
      </c>
      <c r="I44" s="21"/>
      <c r="J44" s="22"/>
      <c r="K44" s="20">
        <v>1</v>
      </c>
      <c r="L44" s="11">
        <f>Tabelle4[Price]*Tabelle4[Invoice
Qty]</f>
        <v>7.2</v>
      </c>
      <c r="M44" s="20"/>
    </row>
    <row r="45" spans="1:13" x14ac:dyDescent="0.3">
      <c r="A45" s="21">
        <v>400</v>
      </c>
      <c r="B45" s="22">
        <v>1415</v>
      </c>
      <c r="C45" s="22" t="s">
        <v>64</v>
      </c>
      <c r="D45" s="23">
        <v>12</v>
      </c>
      <c r="E45" s="22" t="s">
        <v>29</v>
      </c>
      <c r="F45" s="24">
        <v>1.1499999999999999</v>
      </c>
      <c r="G45" s="24">
        <v>13.799999999999999</v>
      </c>
      <c r="H45" s="21" t="s">
        <v>21</v>
      </c>
      <c r="I45" s="21"/>
      <c r="J45" s="22"/>
      <c r="K45" s="20">
        <v>12</v>
      </c>
      <c r="L45" s="11">
        <f>Tabelle4[Price]*Tabelle4[Invoice
Qty]</f>
        <v>13.799999999999999</v>
      </c>
      <c r="M45" s="20"/>
    </row>
    <row r="46" spans="1:13" x14ac:dyDescent="0.3">
      <c r="A46" s="21">
        <v>410</v>
      </c>
      <c r="B46" s="22">
        <v>2202</v>
      </c>
      <c r="C46" s="22" t="s">
        <v>65</v>
      </c>
      <c r="D46" s="23">
        <v>10</v>
      </c>
      <c r="E46" s="22" t="s">
        <v>66</v>
      </c>
      <c r="F46" s="24">
        <v>1.4</v>
      </c>
      <c r="G46" s="24">
        <v>14</v>
      </c>
      <c r="H46" s="21" t="s">
        <v>21</v>
      </c>
      <c r="I46" s="21"/>
      <c r="J46" s="22"/>
      <c r="K46" s="20">
        <v>10</v>
      </c>
      <c r="L46" s="11">
        <f>Tabelle4[Price]*Tabelle4[Invoice
Qty]</f>
        <v>14</v>
      </c>
      <c r="M46" s="20"/>
    </row>
    <row r="47" spans="1:13" x14ac:dyDescent="0.3">
      <c r="A47" s="25"/>
      <c r="B47" s="26"/>
      <c r="C47" s="26" t="s">
        <v>67</v>
      </c>
      <c r="D47" s="27"/>
      <c r="E47" s="26"/>
      <c r="F47" s="28"/>
      <c r="G47" s="28">
        <f>SUM(G1:G46)</f>
        <v>656.65000000000009</v>
      </c>
      <c r="H47" s="25" t="s">
        <v>21</v>
      </c>
      <c r="I47" s="25"/>
      <c r="J47" s="26"/>
      <c r="K47" s="29"/>
      <c r="L47" s="30">
        <f>SUM(L1:L46)</f>
        <v>679.86689999999999</v>
      </c>
      <c r="M47" s="29"/>
    </row>
  </sheetData>
  <sheetProtection password="C98C" sheet="1" objects="1" scenarios="1" selectLockedCells="1"/>
  <mergeCells count="5">
    <mergeCell ref="B4:J4"/>
    <mergeCell ref="K1:L1"/>
    <mergeCell ref="K2:L2"/>
    <mergeCell ref="K3:L3"/>
    <mergeCell ref="K4:L4"/>
  </mergeCells>
  <conditionalFormatting sqref="I6:I47">
    <cfRule type="cellIs" dxfId="1" priority="3" operator="equal">
      <formula>"x"</formula>
    </cfRule>
  </conditionalFormatting>
  <conditionalFormatting sqref="L6:L47">
    <cfRule type="cellIs" dxfId="0" priority="1" operator="notEqual">
      <formula>$G6</formula>
    </cfRule>
  </conditionalFormatting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Order</vt:lpstr>
      <vt:lpstr>HeaderRequest</vt:lpstr>
      <vt:lpstr>HeaderSupplier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Söhl, Bernd</dc:creator>
  <cp:lastModifiedBy>Ina Selest</cp:lastModifiedBy>
  <dcterms:created xsi:type="dcterms:W3CDTF">2019-11-22T08:12:38Z</dcterms:created>
  <dcterms:modified xsi:type="dcterms:W3CDTF">2026-04-04T12:40:10Z</dcterms:modified>
</cp:coreProperties>
</file>